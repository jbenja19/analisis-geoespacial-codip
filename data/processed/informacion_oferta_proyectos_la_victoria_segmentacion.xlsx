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ASEI\02 Data Analytics &amp; BI\Estudios\Estudio segmentación La Victoria\"/>
    </mc:Choice>
  </mc:AlternateContent>
  <xr:revisionPtr revIDLastSave="0" documentId="8_{11491011-438F-424C-90D4-0D8E2801ABF1}" xr6:coauthVersionLast="47" xr6:coauthVersionMax="47" xr10:uidLastSave="{00000000-0000-0000-0000-000000000000}"/>
  <bookViews>
    <workbookView xWindow="-28920" yWindow="-120" windowWidth="29040" windowHeight="15840" xr2:uid="{2327502E-5E0C-4627-B949-DE645D53632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20" i="1" l="1"/>
  <c r="O120" i="1"/>
  <c r="M120" i="1"/>
  <c r="L120" i="1"/>
  <c r="N117" i="1"/>
  <c r="O117" i="1"/>
  <c r="M117" i="1"/>
  <c r="L117" i="1"/>
  <c r="N115" i="1"/>
  <c r="O115" i="1"/>
  <c r="M115" i="1"/>
  <c r="L115" i="1"/>
  <c r="N112" i="1"/>
  <c r="O112" i="1"/>
  <c r="M112" i="1"/>
  <c r="L112" i="1"/>
  <c r="N110" i="1"/>
  <c r="O110" i="1"/>
  <c r="M110" i="1"/>
  <c r="L110" i="1"/>
  <c r="N107" i="1"/>
  <c r="O107" i="1"/>
  <c r="M107" i="1"/>
  <c r="L107" i="1"/>
  <c r="N104" i="1"/>
  <c r="O104" i="1"/>
  <c r="M104" i="1"/>
  <c r="L104" i="1"/>
  <c r="N101" i="1"/>
  <c r="O101" i="1"/>
  <c r="M101" i="1"/>
  <c r="L101" i="1"/>
  <c r="N98" i="1"/>
  <c r="O98" i="1"/>
  <c r="M98" i="1"/>
  <c r="L98" i="1"/>
  <c r="O96" i="1"/>
  <c r="N96" i="1"/>
  <c r="M96" i="1"/>
  <c r="L96" i="1"/>
  <c r="N93" i="1"/>
  <c r="O93" i="1"/>
  <c r="M93" i="1"/>
  <c r="L93" i="1"/>
  <c r="N91" i="1"/>
  <c r="O91" i="1"/>
  <c r="M91" i="1"/>
  <c r="L91" i="1"/>
  <c r="N88" i="1"/>
  <c r="O88" i="1"/>
  <c r="M88" i="1"/>
  <c r="L88" i="1"/>
  <c r="O85" i="1"/>
  <c r="N85" i="1"/>
  <c r="M85" i="1"/>
  <c r="L85" i="1"/>
  <c r="N83" i="1"/>
  <c r="O83" i="1"/>
  <c r="M83" i="1"/>
  <c r="L83" i="1"/>
  <c r="N81" i="1"/>
  <c r="O81" i="1"/>
  <c r="M81" i="1"/>
  <c r="L81" i="1"/>
  <c r="N79" i="1"/>
  <c r="O79" i="1"/>
  <c r="M79" i="1"/>
  <c r="L79" i="1"/>
  <c r="N76" i="1"/>
  <c r="O76" i="1"/>
  <c r="M76" i="1"/>
  <c r="L76" i="1"/>
  <c r="N73" i="1"/>
  <c r="O73" i="1"/>
  <c r="M73" i="1"/>
  <c r="L73" i="1"/>
  <c r="N70" i="1"/>
  <c r="O70" i="1"/>
  <c r="M70" i="1"/>
  <c r="L70" i="1"/>
  <c r="N67" i="1"/>
  <c r="O67" i="1"/>
  <c r="M67" i="1"/>
  <c r="L67" i="1"/>
  <c r="N64" i="1"/>
  <c r="O64" i="1"/>
  <c r="M64" i="1"/>
  <c r="L64" i="1"/>
  <c r="L61" i="1"/>
  <c r="N61" i="1"/>
  <c r="O61" i="1"/>
  <c r="M61" i="1"/>
  <c r="N58" i="1"/>
  <c r="O58" i="1"/>
  <c r="M58" i="1"/>
  <c r="L58" i="1"/>
  <c r="N55" i="1"/>
  <c r="O55" i="1"/>
  <c r="M55" i="1"/>
  <c r="L55" i="1"/>
  <c r="N52" i="1"/>
  <c r="O52" i="1"/>
  <c r="M52" i="1"/>
  <c r="L52" i="1"/>
  <c r="N50" i="1"/>
  <c r="O50" i="1"/>
  <c r="M50" i="1"/>
  <c r="L50" i="1"/>
  <c r="N47" i="1"/>
  <c r="O47" i="1"/>
  <c r="M47" i="1"/>
  <c r="L47" i="1"/>
  <c r="N44" i="1"/>
  <c r="O44" i="1"/>
  <c r="M44" i="1"/>
  <c r="L44" i="1"/>
  <c r="N41" i="1"/>
  <c r="O41" i="1"/>
  <c r="M41" i="1"/>
  <c r="L41" i="1"/>
  <c r="N38" i="1"/>
  <c r="O38" i="1"/>
  <c r="M38" i="1"/>
  <c r="L38" i="1"/>
  <c r="N35" i="1"/>
  <c r="O35" i="1"/>
  <c r="M35" i="1"/>
  <c r="L35" i="1"/>
  <c r="N32" i="1"/>
  <c r="O32" i="1"/>
  <c r="M32" i="1"/>
  <c r="L32" i="1"/>
  <c r="N29" i="1"/>
  <c r="O29" i="1"/>
  <c r="M29" i="1"/>
  <c r="L29" i="1"/>
  <c r="N26" i="1"/>
  <c r="O26" i="1"/>
  <c r="M26" i="1"/>
  <c r="L26" i="1"/>
  <c r="N23" i="1"/>
  <c r="O23" i="1"/>
  <c r="M23" i="1"/>
  <c r="L23" i="1"/>
  <c r="N20" i="1"/>
  <c r="O20" i="1"/>
  <c r="M20" i="1"/>
  <c r="L20" i="1"/>
  <c r="O17" i="1"/>
  <c r="N17" i="1"/>
  <c r="M17" i="1"/>
  <c r="L17" i="1"/>
  <c r="O14" i="1"/>
  <c r="N14" i="1"/>
  <c r="M14" i="1"/>
  <c r="L14" i="1"/>
  <c r="N11" i="1"/>
  <c r="O11" i="1"/>
  <c r="M11" i="1"/>
  <c r="L11" i="1"/>
  <c r="N8" i="1"/>
  <c r="O8" i="1"/>
  <c r="M8" i="1"/>
  <c r="L8" i="1"/>
  <c r="N5" i="1"/>
  <c r="O5" i="1"/>
  <c r="M5" i="1"/>
  <c r="L5" i="1"/>
  <c r="O2" i="1"/>
  <c r="N2" i="1"/>
  <c r="M2" i="1"/>
  <c r="L2" i="1"/>
</calcChain>
</file>

<file path=xl/sharedStrings.xml><?xml version="1.0" encoding="utf-8"?>
<sst xmlns="http://schemas.openxmlformats.org/spreadsheetml/2006/main" count="257" uniqueCount="83">
  <si>
    <t>Inmobiliaria</t>
  </si>
  <si>
    <t>Nombre de Proyecto</t>
  </si>
  <si>
    <t>Longitud</t>
  </si>
  <si>
    <t>Latitud</t>
  </si>
  <si>
    <t>Cantidad de Unidades Totales</t>
  </si>
  <si>
    <t>Cantidad de Pisos</t>
  </si>
  <si>
    <t>Cantidad de Dormitorios</t>
  </si>
  <si>
    <t>Prom. Área Total</t>
  </si>
  <si>
    <t>Prom. Precio de Lista Solarizado Neto</t>
  </si>
  <si>
    <t>Abril Grupo Inmobiliario</t>
  </si>
  <si>
    <t>Pino</t>
  </si>
  <si>
    <t>Sauco</t>
  </si>
  <si>
    <t>Arteco</t>
  </si>
  <si>
    <t>Midtown</t>
  </si>
  <si>
    <t>Balance Grupo Inmobiliario</t>
  </si>
  <si>
    <t>HERCELLES</t>
  </si>
  <si>
    <t>Casaideal Inmobiliaria</t>
  </si>
  <si>
    <t>VÖN</t>
  </si>
  <si>
    <t>Gdc Inmobiliaria</t>
  </si>
  <si>
    <t>Park Prado</t>
  </si>
  <si>
    <t>Ghs Constructora</t>
  </si>
  <si>
    <t>Catalina View</t>
  </si>
  <si>
    <t>Grupo Lar</t>
  </si>
  <si>
    <t>Elant | Fase 2</t>
  </si>
  <si>
    <t>Elant | Fase 3</t>
  </si>
  <si>
    <t>Elant Fase 1</t>
  </si>
  <si>
    <t>Hara (Etapa 3)</t>
  </si>
  <si>
    <t>Hara (Etapa 4)</t>
  </si>
  <si>
    <t>Hara (Torre 1)</t>
  </si>
  <si>
    <t>Hara (Torre 2)</t>
  </si>
  <si>
    <t>Hara | Etapa 5</t>
  </si>
  <si>
    <t>Zendai | Fase 1</t>
  </si>
  <si>
    <t>Grupo Sol</t>
  </si>
  <si>
    <t>GREEN VIEW</t>
  </si>
  <si>
    <t>Grupo T&amp;C</t>
  </si>
  <si>
    <t>Catalina Sky</t>
  </si>
  <si>
    <t>Hl Desarrollos Inmobiliarios</t>
  </si>
  <si>
    <t>Family Apartments</t>
  </si>
  <si>
    <t>Hpc Inmobiliaria</t>
  </si>
  <si>
    <t>ON Apartments</t>
  </si>
  <si>
    <t>ON APARTMENTS - Etapa 2</t>
  </si>
  <si>
    <t>Invent</t>
  </si>
  <si>
    <t>FORTIVA</t>
  </si>
  <si>
    <t>La Venturosa</t>
  </si>
  <si>
    <t>Edificio Villaran</t>
  </si>
  <si>
    <t>My Home</t>
  </si>
  <si>
    <t>Millenium</t>
  </si>
  <si>
    <t>Você</t>
  </si>
  <si>
    <t>Noi Inmobiliaria</t>
  </si>
  <si>
    <t>560 Place</t>
  </si>
  <si>
    <t>Paz</t>
  </si>
  <si>
    <t>Escala</t>
  </si>
  <si>
    <t>Residencial Real</t>
  </si>
  <si>
    <t>Residencial Real Etapa 2</t>
  </si>
  <si>
    <t>Pisonay Inmobiliaria</t>
  </si>
  <si>
    <t>STRONG</t>
  </si>
  <si>
    <t>Promsal</t>
  </si>
  <si>
    <t>Hey Catalina 383</t>
  </si>
  <si>
    <t>Hola Catalina</t>
  </si>
  <si>
    <t>Proyec Inmobiliaria</t>
  </si>
  <si>
    <t>CAPRI Santa Catalina</t>
  </si>
  <si>
    <t>Quatro Inmobiliaria</t>
  </si>
  <si>
    <t>Cor Tower</t>
  </si>
  <si>
    <t>Rumi Grupo Inmobiliario</t>
  </si>
  <si>
    <t>PIETRA DI PRADO</t>
  </si>
  <si>
    <t>Senda</t>
  </si>
  <si>
    <t>AUDACITY</t>
  </si>
  <si>
    <t>MET</t>
  </si>
  <si>
    <t>Stella Inmobiliaria</t>
  </si>
  <si>
    <t>ALDANA BELLA</t>
  </si>
  <si>
    <t>Urbana Perú</t>
  </si>
  <si>
    <t>Hope</t>
  </si>
  <si>
    <t>Tempo</t>
  </si>
  <si>
    <t>TEMPO 2</t>
  </si>
  <si>
    <t>V&amp;V Grupo Inmobiliario</t>
  </si>
  <si>
    <t>C. VILLARÁN 302</t>
  </si>
  <si>
    <t>Limited</t>
  </si>
  <si>
    <t>Cantidad de dormitorios por piso</t>
  </si>
  <si>
    <t>Prom. Precio por m2</t>
  </si>
  <si>
    <t>prom_p area</t>
  </si>
  <si>
    <t>prom_p ticket</t>
  </si>
  <si>
    <t>prom_p pxm2</t>
  </si>
  <si>
    <t>prom_p dorm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</si>
</sst>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0B6FD-453A-40EE-85EF-679C1D6B6C46}">
  <dimension ref="A1:O122"/>
  <sheetViews>
    <sheetView tabSelected="1" workbookViewId="0">
      <selection activeCell="N123" sqref="N123"/>
    </sheetView>
  </sheetViews>
  <sheetFormatPr baseColWidth="10" defaultRowHeight="14.4" x14ac:dyDescent="0.3"/>
  <cols>
    <col min="1" max="1" width="22.5546875" customWidth="1"/>
    <col min="2" max="2" width="18" customWidth="1"/>
    <col min="10" max="10" width="16.88671875" customWidth="1"/>
  </cols>
  <sheetData>
    <row r="1" spans="1:15" s="2" customFormat="1" ht="47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77</v>
      </c>
      <c r="I1" s="2" t="s">
        <v>7</v>
      </c>
      <c r="J1" s="2" t="s">
        <v>8</v>
      </c>
      <c r="K1" s="2" t="s">
        <v>78</v>
      </c>
      <c r="L1" s="2" t="s">
        <v>82</v>
      </c>
      <c r="M1" s="2" t="s">
        <v>79</v>
      </c>
      <c r="N1" s="2" t="s">
        <v>80</v>
      </c>
      <c r="O1" s="2" t="s">
        <v>81</v>
      </c>
    </row>
    <row r="2" spans="1:15" x14ac:dyDescent="0.3">
      <c r="A2" t="s">
        <v>9</v>
      </c>
      <c r="B2" t="s">
        <v>10</v>
      </c>
      <c r="C2">
        <v>-77.016833300000002</v>
      </c>
      <c r="D2">
        <v>-12.0890073</v>
      </c>
      <c r="E2">
        <v>663</v>
      </c>
      <c r="F2">
        <v>34</v>
      </c>
      <c r="G2">
        <v>1</v>
      </c>
      <c r="H2">
        <v>233</v>
      </c>
      <c r="I2">
        <v>36</v>
      </c>
      <c r="J2" s="1">
        <v>223171</v>
      </c>
      <c r="K2" s="1">
        <v>6230</v>
      </c>
      <c r="L2" s="3">
        <f>+SUMPRODUCT(G2:G4,$H$2:$H$4)/SUM($H$2:$H$4)</f>
        <v>1.8461538461538463</v>
      </c>
      <c r="M2" s="1">
        <f>+SUMPRODUCT(I2:I4,$H$2:$H$4)/SUM($H$2:$H$4)</f>
        <v>51.681749622926091</v>
      </c>
      <c r="N2" s="1">
        <f>+SUMPRODUCT(J2:J4,$H$2:$H$4)/SUM($H$2:$H$4)</f>
        <v>311461.53695324284</v>
      </c>
      <c r="O2" s="1">
        <f>+SUMPRODUCT(K2:K4,$H$2:$H$4)/SUM($H$2:$H$4)</f>
        <v>6063.1930618401211</v>
      </c>
    </row>
    <row r="3" spans="1:15" x14ac:dyDescent="0.3">
      <c r="A3" t="s">
        <v>9</v>
      </c>
      <c r="B3" t="s">
        <v>10</v>
      </c>
      <c r="C3">
        <v>-77.016833300000002</v>
      </c>
      <c r="D3">
        <v>-12.0890073</v>
      </c>
      <c r="E3">
        <v>663</v>
      </c>
      <c r="F3">
        <v>34</v>
      </c>
      <c r="G3">
        <v>2</v>
      </c>
      <c r="H3">
        <v>299</v>
      </c>
      <c r="I3">
        <v>55</v>
      </c>
      <c r="J3" s="1">
        <v>330490</v>
      </c>
      <c r="K3" s="1">
        <v>5992</v>
      </c>
      <c r="L3" s="3"/>
    </row>
    <row r="4" spans="1:15" x14ac:dyDescent="0.3">
      <c r="A4" t="s">
        <v>9</v>
      </c>
      <c r="B4" t="s">
        <v>10</v>
      </c>
      <c r="C4">
        <v>-77.016833300000002</v>
      </c>
      <c r="D4">
        <v>-12.0890073</v>
      </c>
      <c r="E4">
        <v>663</v>
      </c>
      <c r="F4">
        <v>34</v>
      </c>
      <c r="G4">
        <v>3</v>
      </c>
      <c r="H4">
        <v>131</v>
      </c>
      <c r="I4">
        <v>72</v>
      </c>
      <c r="J4" s="1">
        <v>425066</v>
      </c>
      <c r="K4" s="1">
        <v>5929</v>
      </c>
      <c r="L4" s="3"/>
    </row>
    <row r="5" spans="1:15" x14ac:dyDescent="0.3">
      <c r="A5" t="s">
        <v>9</v>
      </c>
      <c r="B5" t="s">
        <v>11</v>
      </c>
      <c r="C5">
        <v>-77.019395320000001</v>
      </c>
      <c r="D5">
        <v>-12.089912319</v>
      </c>
      <c r="E5">
        <v>628</v>
      </c>
      <c r="F5">
        <v>33</v>
      </c>
      <c r="G5">
        <v>1</v>
      </c>
      <c r="H5">
        <v>176</v>
      </c>
      <c r="I5">
        <v>41</v>
      </c>
      <c r="J5" s="1">
        <v>267772</v>
      </c>
      <c r="K5" s="1">
        <v>6543</v>
      </c>
      <c r="L5" s="3">
        <f>+SUMPRODUCT(G5:G7,$H$5:$H$7)/SUM($H$5:$H$7)</f>
        <v>2.0254777070063694</v>
      </c>
      <c r="M5" s="1">
        <f>+SUMPRODUCT(I5:I7,$H$5:$H$7)/SUM($H$5:$H$7)</f>
        <v>58.433121019108277</v>
      </c>
      <c r="N5" s="1">
        <f t="shared" ref="N5:O5" si="0">+SUMPRODUCT(J5:J7,$H$5:$H$7)/SUM($H$5:$H$7)</f>
        <v>378385.29299363057</v>
      </c>
      <c r="O5" s="1">
        <f t="shared" si="0"/>
        <v>6479.8535031847132</v>
      </c>
    </row>
    <row r="6" spans="1:15" x14ac:dyDescent="0.3">
      <c r="A6" t="s">
        <v>9</v>
      </c>
      <c r="B6" t="s">
        <v>11</v>
      </c>
      <c r="C6">
        <v>-77.019395320000001</v>
      </c>
      <c r="D6">
        <v>-12.089912319</v>
      </c>
      <c r="E6">
        <v>628</v>
      </c>
      <c r="F6">
        <v>33</v>
      </c>
      <c r="G6">
        <v>2</v>
      </c>
      <c r="H6">
        <v>260</v>
      </c>
      <c r="I6">
        <v>58</v>
      </c>
      <c r="J6" s="1">
        <v>369723</v>
      </c>
      <c r="K6" s="1">
        <v>6389</v>
      </c>
      <c r="L6" s="3"/>
    </row>
    <row r="7" spans="1:15" x14ac:dyDescent="0.3">
      <c r="A7" t="s">
        <v>9</v>
      </c>
      <c r="B7" t="s">
        <v>11</v>
      </c>
      <c r="C7">
        <v>-77.019395320000001</v>
      </c>
      <c r="D7">
        <v>-12.089912319</v>
      </c>
      <c r="E7">
        <v>628</v>
      </c>
      <c r="F7">
        <v>33</v>
      </c>
      <c r="G7">
        <v>3</v>
      </c>
      <c r="H7">
        <v>192</v>
      </c>
      <c r="I7">
        <v>75</v>
      </c>
      <c r="J7" s="1">
        <v>491511</v>
      </c>
      <c r="K7" s="1">
        <v>6545</v>
      </c>
      <c r="L7" s="3"/>
    </row>
    <row r="8" spans="1:15" x14ac:dyDescent="0.3">
      <c r="A8" t="s">
        <v>12</v>
      </c>
      <c r="B8" t="s">
        <v>13</v>
      </c>
      <c r="C8">
        <v>-77.011280400000004</v>
      </c>
      <c r="D8">
        <v>-12.0877713</v>
      </c>
      <c r="E8">
        <v>94</v>
      </c>
      <c r="F8">
        <v>14</v>
      </c>
      <c r="G8">
        <v>1</v>
      </c>
      <c r="H8">
        <v>12</v>
      </c>
      <c r="I8">
        <v>36</v>
      </c>
      <c r="J8" s="1">
        <v>261776</v>
      </c>
      <c r="K8" s="1">
        <v>7188</v>
      </c>
      <c r="L8" s="3">
        <f>+SUMPRODUCT(G8:G10,$H$8:$H$10)/SUM($H$8:$H$10)</f>
        <v>2.3297872340425534</v>
      </c>
      <c r="M8" s="1">
        <f>+SUMPRODUCT(I8:I10,$H$8:$H$10)/SUM($H$8:$H$10)</f>
        <v>61.968085106382979</v>
      </c>
      <c r="N8" s="1">
        <f t="shared" ref="N8:O8" si="1">+SUMPRODUCT(J8:J10,$H$8:$H$10)/SUM($H$8:$H$10)</f>
        <v>420748.5319148936</v>
      </c>
      <c r="O8" s="1">
        <f t="shared" si="1"/>
        <v>6952.2765957446809</v>
      </c>
    </row>
    <row r="9" spans="1:15" x14ac:dyDescent="0.3">
      <c r="A9" t="s">
        <v>12</v>
      </c>
      <c r="B9" t="s">
        <v>13</v>
      </c>
      <c r="C9">
        <v>-77.011280400000004</v>
      </c>
      <c r="D9">
        <v>-12.0877713</v>
      </c>
      <c r="E9">
        <v>94</v>
      </c>
      <c r="F9">
        <v>14</v>
      </c>
      <c r="G9">
        <v>2</v>
      </c>
      <c r="H9">
        <v>39</v>
      </c>
      <c r="I9">
        <v>60</v>
      </c>
      <c r="J9" s="1">
        <v>414175</v>
      </c>
      <c r="K9" s="1">
        <v>7030</v>
      </c>
      <c r="L9" s="3"/>
    </row>
    <row r="10" spans="1:15" x14ac:dyDescent="0.3">
      <c r="A10" t="s">
        <v>12</v>
      </c>
      <c r="B10" t="s">
        <v>13</v>
      </c>
      <c r="C10">
        <v>-77.011280400000004</v>
      </c>
      <c r="D10">
        <v>-12.0877713</v>
      </c>
      <c r="E10">
        <v>94</v>
      </c>
      <c r="F10">
        <v>14</v>
      </c>
      <c r="G10">
        <v>3</v>
      </c>
      <c r="H10">
        <v>43</v>
      </c>
      <c r="I10">
        <v>71</v>
      </c>
      <c r="J10" s="1">
        <v>471075</v>
      </c>
      <c r="K10" s="1">
        <v>6816</v>
      </c>
      <c r="L10" s="3"/>
    </row>
    <row r="11" spans="1:15" x14ac:dyDescent="0.3">
      <c r="A11" t="s">
        <v>14</v>
      </c>
      <c r="B11" t="s">
        <v>15</v>
      </c>
      <c r="C11">
        <v>-77.022908999999999</v>
      </c>
      <c r="D11">
        <v>-12.0868225</v>
      </c>
      <c r="E11">
        <v>71</v>
      </c>
      <c r="F11">
        <v>8</v>
      </c>
      <c r="G11">
        <v>1</v>
      </c>
      <c r="H11">
        <v>10</v>
      </c>
      <c r="I11">
        <v>35</v>
      </c>
      <c r="J11" s="1">
        <v>258500</v>
      </c>
      <c r="K11" s="1">
        <v>7481</v>
      </c>
      <c r="L11" s="3">
        <f>+SUMPRODUCT(G11:G13,$H$11:$H$13)/SUM($H$11:$H$13)</f>
        <v>2.0985915492957745</v>
      </c>
      <c r="M11" s="1">
        <f>+SUMPRODUCT(I11:I13,$H$11:$H$13)/SUM($H$11:$H$13)</f>
        <v>61.12676056338028</v>
      </c>
      <c r="N11" s="1">
        <f t="shared" ref="N11:O11" si="2">+SUMPRODUCT(J11:J13,$H$11:$H$13)/SUM($H$11:$H$13)</f>
        <v>427072.25352112675</v>
      </c>
      <c r="O11" s="1">
        <f t="shared" si="2"/>
        <v>7177.6619718309857</v>
      </c>
    </row>
    <row r="12" spans="1:15" x14ac:dyDescent="0.3">
      <c r="A12" t="s">
        <v>14</v>
      </c>
      <c r="B12" t="s">
        <v>15</v>
      </c>
      <c r="C12">
        <v>-77.022908999999999</v>
      </c>
      <c r="D12">
        <v>-12.0868225</v>
      </c>
      <c r="E12">
        <v>71</v>
      </c>
      <c r="F12">
        <v>8</v>
      </c>
      <c r="G12">
        <v>2</v>
      </c>
      <c r="H12">
        <v>44</v>
      </c>
      <c r="I12">
        <v>59</v>
      </c>
      <c r="J12" s="1">
        <v>410594</v>
      </c>
      <c r="K12" s="1">
        <v>7182</v>
      </c>
      <c r="L12" s="3"/>
    </row>
    <row r="13" spans="1:15" x14ac:dyDescent="0.3">
      <c r="A13" t="s">
        <v>14</v>
      </c>
      <c r="B13" t="s">
        <v>15</v>
      </c>
      <c r="C13">
        <v>-77.022908999999999</v>
      </c>
      <c r="D13">
        <v>-12.0868225</v>
      </c>
      <c r="E13">
        <v>71</v>
      </c>
      <c r="F13">
        <v>8</v>
      </c>
      <c r="G13">
        <v>3</v>
      </c>
      <c r="H13">
        <v>17</v>
      </c>
      <c r="I13">
        <v>82</v>
      </c>
      <c r="J13" s="1">
        <v>568882</v>
      </c>
      <c r="K13" s="1">
        <v>6988</v>
      </c>
      <c r="L13" s="3"/>
    </row>
    <row r="14" spans="1:15" x14ac:dyDescent="0.3">
      <c r="A14" t="s">
        <v>16</v>
      </c>
      <c r="B14" t="s">
        <v>17</v>
      </c>
      <c r="C14">
        <v>-77.018235500000003</v>
      </c>
      <c r="D14">
        <v>-12.088915500000001</v>
      </c>
      <c r="E14">
        <v>297</v>
      </c>
      <c r="F14">
        <v>177</v>
      </c>
      <c r="G14">
        <v>1</v>
      </c>
      <c r="H14">
        <v>51</v>
      </c>
      <c r="I14">
        <v>41</v>
      </c>
      <c r="J14" s="1">
        <v>273373</v>
      </c>
      <c r="K14" s="1">
        <v>6784</v>
      </c>
      <c r="L14" s="3">
        <f>+SUMPRODUCT(G14:G16,$H$14:$H$16)/SUM($H$14:$H$16)</f>
        <v>2.1010101010101012</v>
      </c>
      <c r="M14" s="1">
        <f>+SUMPRODUCT(I14:I16,$H$14:$H$16)/SUM($H$14:$H$16)</f>
        <v>51.161616161616159</v>
      </c>
      <c r="N14" s="1">
        <f>+SUMPRODUCT(J14:J16,$H$14:$H$16)/SUM($H$14:$H$16)</f>
        <v>343695.97979797982</v>
      </c>
      <c r="O14" s="1">
        <f>+SUMPRODUCT(K14:K16,$H$14:$H$16)/SUM($H$14:$H$16)</f>
        <v>6731.3131313131316</v>
      </c>
    </row>
    <row r="15" spans="1:15" x14ac:dyDescent="0.3">
      <c r="A15" t="s">
        <v>16</v>
      </c>
      <c r="B15" t="s">
        <v>17</v>
      </c>
      <c r="C15">
        <v>-77.018235500000003</v>
      </c>
      <c r="D15">
        <v>-12.088915500000001</v>
      </c>
      <c r="E15">
        <v>297</v>
      </c>
      <c r="F15">
        <v>177</v>
      </c>
      <c r="G15">
        <v>2</v>
      </c>
      <c r="H15">
        <v>165</v>
      </c>
      <c r="I15">
        <v>48</v>
      </c>
      <c r="J15" s="1">
        <v>326939</v>
      </c>
      <c r="K15" s="1">
        <v>6779</v>
      </c>
      <c r="L15" s="1"/>
    </row>
    <row r="16" spans="1:15" x14ac:dyDescent="0.3">
      <c r="A16" t="s">
        <v>16</v>
      </c>
      <c r="B16" t="s">
        <v>17</v>
      </c>
      <c r="C16">
        <v>-77.018235500000003</v>
      </c>
      <c r="D16">
        <v>-12.088915500000001</v>
      </c>
      <c r="E16">
        <v>297</v>
      </c>
      <c r="F16">
        <v>177</v>
      </c>
      <c r="G16">
        <v>3</v>
      </c>
      <c r="H16">
        <v>81</v>
      </c>
      <c r="I16">
        <v>64</v>
      </c>
      <c r="J16" s="1">
        <v>422108</v>
      </c>
      <c r="K16" s="1">
        <v>6601</v>
      </c>
      <c r="L16" s="1"/>
    </row>
    <row r="17" spans="1:15" x14ac:dyDescent="0.3">
      <c r="A17" t="s">
        <v>18</v>
      </c>
      <c r="B17" t="s">
        <v>19</v>
      </c>
      <c r="C17">
        <v>-77.020129725000004</v>
      </c>
      <c r="D17">
        <v>-12.0901064</v>
      </c>
      <c r="E17">
        <v>384</v>
      </c>
      <c r="F17">
        <v>33</v>
      </c>
      <c r="G17">
        <v>1</v>
      </c>
      <c r="H17">
        <v>66</v>
      </c>
      <c r="I17">
        <v>39</v>
      </c>
      <c r="J17" s="1">
        <v>315793</v>
      </c>
      <c r="K17" s="1">
        <v>8020</v>
      </c>
      <c r="L17" s="3">
        <f>+SUMPRODUCT(G17:G19,$H$17:$H$19)/SUM($H$17:$H$19)</f>
        <v>2.3229166666666665</v>
      </c>
      <c r="M17" s="1">
        <f>+SUMPRODUCT(I17:I19,$H$17:$H$19)/SUM($H$17:$H$19)</f>
        <v>60.5</v>
      </c>
      <c r="N17" s="1">
        <f>+SUMPRODUCT(J17:J19,$H$17:$H$19)/SUM($H$17:$H$19)</f>
        <v>466242.4375</v>
      </c>
      <c r="O17" s="1">
        <f>+SUMPRODUCT(K17:K19,$H$17:$H$19)/SUM($H$17:$H$19)</f>
        <v>7705.192708333333</v>
      </c>
    </row>
    <row r="18" spans="1:15" x14ac:dyDescent="0.3">
      <c r="A18" t="s">
        <v>18</v>
      </c>
      <c r="B18" t="s">
        <v>19</v>
      </c>
      <c r="C18">
        <v>-77.020129725000004</v>
      </c>
      <c r="D18">
        <v>-12.0901064</v>
      </c>
      <c r="E18">
        <v>384</v>
      </c>
      <c r="F18">
        <v>33</v>
      </c>
      <c r="G18">
        <v>2</v>
      </c>
      <c r="H18">
        <v>128</v>
      </c>
      <c r="I18">
        <v>56</v>
      </c>
      <c r="J18" s="1">
        <v>427641</v>
      </c>
      <c r="K18" s="1">
        <v>7653</v>
      </c>
      <c r="L18" s="1"/>
    </row>
    <row r="19" spans="1:15" x14ac:dyDescent="0.3">
      <c r="A19" t="s">
        <v>18</v>
      </c>
      <c r="B19" t="s">
        <v>19</v>
      </c>
      <c r="C19">
        <v>-77.020129725000004</v>
      </c>
      <c r="D19">
        <v>-12.0901064</v>
      </c>
      <c r="E19">
        <v>384</v>
      </c>
      <c r="F19">
        <v>33</v>
      </c>
      <c r="G19">
        <v>3</v>
      </c>
      <c r="H19">
        <v>190</v>
      </c>
      <c r="I19">
        <v>71</v>
      </c>
      <c r="J19" s="1">
        <v>544509</v>
      </c>
      <c r="K19" s="1">
        <v>7631</v>
      </c>
      <c r="L19" s="1"/>
    </row>
    <row r="20" spans="1:15" x14ac:dyDescent="0.3">
      <c r="A20" t="s">
        <v>20</v>
      </c>
      <c r="B20" t="s">
        <v>21</v>
      </c>
      <c r="C20">
        <v>-77.021394099999995</v>
      </c>
      <c r="D20">
        <v>-12.0840946</v>
      </c>
      <c r="E20">
        <v>63</v>
      </c>
      <c r="F20">
        <v>17</v>
      </c>
      <c r="G20">
        <v>1</v>
      </c>
      <c r="H20">
        <v>1</v>
      </c>
      <c r="I20">
        <v>43</v>
      </c>
      <c r="J20" s="1">
        <v>277680</v>
      </c>
      <c r="K20" s="1">
        <v>6500</v>
      </c>
      <c r="L20" s="3">
        <f>+SUMPRODUCT(G20:G22,$H$20:$H$22)/SUM($H$20:$H$22)</f>
        <v>2.3968253968253967</v>
      </c>
      <c r="M20" s="1">
        <f>+SUMPRODUCT(I20:I22,$H$20:$H$22)/SUM($H$20:$H$22)</f>
        <v>62.460317460317462</v>
      </c>
      <c r="N20" s="1">
        <f t="shared" ref="N20:O20" si="3">+SUMPRODUCT(J20:J22,$H$20:$H$22)/SUM($H$20:$H$22)</f>
        <v>407722.44444444444</v>
      </c>
      <c r="O20" s="1">
        <f t="shared" si="3"/>
        <v>6540.4126984126988</v>
      </c>
    </row>
    <row r="21" spans="1:15" x14ac:dyDescent="0.3">
      <c r="A21" t="s">
        <v>20</v>
      </c>
      <c r="B21" t="s">
        <v>21</v>
      </c>
      <c r="C21">
        <v>-77.021394099999995</v>
      </c>
      <c r="D21">
        <v>-12.0840946</v>
      </c>
      <c r="E21">
        <v>63</v>
      </c>
      <c r="F21">
        <v>17</v>
      </c>
      <c r="G21">
        <v>2</v>
      </c>
      <c r="H21">
        <v>36</v>
      </c>
      <c r="I21">
        <v>59</v>
      </c>
      <c r="J21" s="1">
        <v>384043</v>
      </c>
      <c r="K21" s="1">
        <v>6544</v>
      </c>
      <c r="L21" s="1"/>
    </row>
    <row r="22" spans="1:15" x14ac:dyDescent="0.3">
      <c r="A22" t="s">
        <v>20</v>
      </c>
      <c r="B22" t="s">
        <v>21</v>
      </c>
      <c r="C22">
        <v>-77.021394099999995</v>
      </c>
      <c r="D22">
        <v>-12.0840946</v>
      </c>
      <c r="E22">
        <v>63</v>
      </c>
      <c r="F22">
        <v>17</v>
      </c>
      <c r="G22">
        <v>3</v>
      </c>
      <c r="H22">
        <v>26</v>
      </c>
      <c r="I22">
        <v>68</v>
      </c>
      <c r="J22" s="1">
        <v>445511</v>
      </c>
      <c r="K22" s="1">
        <v>6537</v>
      </c>
      <c r="L22" s="1"/>
    </row>
    <row r="23" spans="1:15" x14ac:dyDescent="0.3">
      <c r="A23" t="s">
        <v>22</v>
      </c>
      <c r="B23" t="s">
        <v>23</v>
      </c>
      <c r="C23">
        <v>-77.025817599999996</v>
      </c>
      <c r="D23">
        <v>-12.0821778</v>
      </c>
      <c r="E23">
        <v>165</v>
      </c>
      <c r="F23">
        <v>28</v>
      </c>
      <c r="G23">
        <v>1</v>
      </c>
      <c r="H23">
        <v>27</v>
      </c>
      <c r="I23">
        <v>35</v>
      </c>
      <c r="J23" s="1">
        <v>289398</v>
      </c>
      <c r="K23" s="1">
        <v>8340</v>
      </c>
      <c r="L23" s="3">
        <f>+SUMPRODUCT(G23:G25,$H$23:$H$25)/SUM($H$23:$H$25)</f>
        <v>2.3454545454545452</v>
      </c>
      <c r="M23" s="1">
        <f>+SUMPRODUCT(I23:I25,$H$23:$H$25)/SUM($H$23:$H$25)</f>
        <v>59.363636363636367</v>
      </c>
      <c r="N23" s="1">
        <f t="shared" ref="N23:O23" si="4">+SUMPRODUCT(J23:J25,$H$23:$H$25)/SUM($H$23:$H$25)</f>
        <v>419186.47272727272</v>
      </c>
      <c r="O23" s="1">
        <f t="shared" si="4"/>
        <v>7204.1090909090908</v>
      </c>
    </row>
    <row r="24" spans="1:15" x14ac:dyDescent="0.3">
      <c r="A24" t="s">
        <v>22</v>
      </c>
      <c r="B24" t="s">
        <v>23</v>
      </c>
      <c r="C24">
        <v>-77.025817599999996</v>
      </c>
      <c r="D24">
        <v>-12.0821778</v>
      </c>
      <c r="E24">
        <v>165</v>
      </c>
      <c r="F24">
        <v>28</v>
      </c>
      <c r="G24">
        <v>2</v>
      </c>
      <c r="H24">
        <v>54</v>
      </c>
      <c r="I24">
        <v>55</v>
      </c>
      <c r="J24" s="1">
        <v>383647</v>
      </c>
      <c r="K24" s="1">
        <v>7005</v>
      </c>
      <c r="L24" s="1"/>
    </row>
    <row r="25" spans="1:15" x14ac:dyDescent="0.3">
      <c r="A25" t="s">
        <v>22</v>
      </c>
      <c r="B25" t="s">
        <v>23</v>
      </c>
      <c r="C25">
        <v>-77.025817599999996</v>
      </c>
      <c r="D25">
        <v>-12.0821778</v>
      </c>
      <c r="E25">
        <v>165</v>
      </c>
      <c r="F25">
        <v>28</v>
      </c>
      <c r="G25">
        <v>3</v>
      </c>
      <c r="H25">
        <v>84</v>
      </c>
      <c r="I25">
        <v>70</v>
      </c>
      <c r="J25" s="1">
        <v>483751</v>
      </c>
      <c r="K25" s="1">
        <v>6967</v>
      </c>
      <c r="L25" s="1"/>
    </row>
    <row r="26" spans="1:15" x14ac:dyDescent="0.3">
      <c r="A26" t="s">
        <v>22</v>
      </c>
      <c r="B26" t="s">
        <v>24</v>
      </c>
      <c r="C26">
        <v>-77.025835000000001</v>
      </c>
      <c r="D26">
        <v>-12.0820832</v>
      </c>
      <c r="E26">
        <v>187</v>
      </c>
      <c r="F26">
        <v>28</v>
      </c>
      <c r="G26">
        <v>1</v>
      </c>
      <c r="H26">
        <v>50</v>
      </c>
      <c r="I26">
        <v>40</v>
      </c>
      <c r="J26" s="1">
        <v>290202</v>
      </c>
      <c r="K26" s="1">
        <v>7220</v>
      </c>
      <c r="L26" s="3">
        <f>+SUMPRODUCT(G26:G28,$H$26:$H$28)/SUM($H$26:$H$28)</f>
        <v>1.9251336898395721</v>
      </c>
      <c r="M26" s="1">
        <f>+SUMPRODUCT(I26:I28,$H$26:$H$28)/SUM($H$26:$H$28)</f>
        <v>53.37433155080214</v>
      </c>
      <c r="N26" s="1">
        <f t="shared" ref="N26:O26" si="5">+SUMPRODUCT(J26:J28,$H$26:$H$28)/SUM($H$26:$H$28)</f>
        <v>377000.19251336897</v>
      </c>
      <c r="O26" s="1">
        <f t="shared" si="5"/>
        <v>7144.1336898395721</v>
      </c>
    </row>
    <row r="27" spans="1:15" x14ac:dyDescent="0.3">
      <c r="A27" t="s">
        <v>22</v>
      </c>
      <c r="B27" t="s">
        <v>24</v>
      </c>
      <c r="C27">
        <v>-77.025835000000001</v>
      </c>
      <c r="D27">
        <v>-12.0820832</v>
      </c>
      <c r="E27">
        <v>187</v>
      </c>
      <c r="F27">
        <v>28</v>
      </c>
      <c r="G27">
        <v>2</v>
      </c>
      <c r="H27">
        <v>101</v>
      </c>
      <c r="I27">
        <v>53</v>
      </c>
      <c r="J27" s="1">
        <v>385348</v>
      </c>
      <c r="K27" s="1">
        <v>7313</v>
      </c>
      <c r="L27" s="1"/>
    </row>
    <row r="28" spans="1:15" x14ac:dyDescent="0.3">
      <c r="A28" t="s">
        <v>22</v>
      </c>
      <c r="B28" t="s">
        <v>24</v>
      </c>
      <c r="C28">
        <v>-77.025835000000001</v>
      </c>
      <c r="D28">
        <v>-12.0820832</v>
      </c>
      <c r="E28">
        <v>187</v>
      </c>
      <c r="F28">
        <v>28</v>
      </c>
      <c r="G28">
        <v>3</v>
      </c>
      <c r="H28">
        <v>36</v>
      </c>
      <c r="I28">
        <v>73</v>
      </c>
      <c r="J28" s="1">
        <v>474133</v>
      </c>
      <c r="K28" s="1">
        <v>6565</v>
      </c>
      <c r="L28" s="1"/>
    </row>
    <row r="29" spans="1:15" x14ac:dyDescent="0.3">
      <c r="A29" t="s">
        <v>22</v>
      </c>
      <c r="B29" t="s">
        <v>25</v>
      </c>
      <c r="C29">
        <v>-77.025674972000004</v>
      </c>
      <c r="D29">
        <v>-12.081947206000001</v>
      </c>
      <c r="E29">
        <v>121</v>
      </c>
      <c r="F29">
        <v>28</v>
      </c>
      <c r="G29">
        <v>1</v>
      </c>
      <c r="H29">
        <v>17</v>
      </c>
      <c r="I29">
        <v>37</v>
      </c>
      <c r="J29" s="1">
        <v>231378</v>
      </c>
      <c r="K29" s="1">
        <v>6223</v>
      </c>
      <c r="L29" s="3">
        <f>+SUMPRODUCT(G29:G31,$H$29:$H$31)/SUM($H$29:$H$31)</f>
        <v>2.4297520661157024</v>
      </c>
      <c r="M29" s="1">
        <f>+SUMPRODUCT(I29:I31,$H$29:$H$31)/SUM($H$29:$H$31)</f>
        <v>61.603305785123965</v>
      </c>
      <c r="N29" s="1">
        <f t="shared" ref="N29:O29" si="6">+SUMPRODUCT(J29:J31,$H$29:$H$31)/SUM($H$29:$H$31)</f>
        <v>376254.28925619833</v>
      </c>
      <c r="O29" s="1">
        <f t="shared" si="6"/>
        <v>6163.9752066115707</v>
      </c>
    </row>
    <row r="30" spans="1:15" x14ac:dyDescent="0.3">
      <c r="A30" t="s">
        <v>22</v>
      </c>
      <c r="B30" t="s">
        <v>25</v>
      </c>
      <c r="C30">
        <v>-77.025674972000004</v>
      </c>
      <c r="D30">
        <v>-12.081947206000001</v>
      </c>
      <c r="E30">
        <v>121</v>
      </c>
      <c r="F30">
        <v>28</v>
      </c>
      <c r="G30">
        <v>2</v>
      </c>
      <c r="H30">
        <v>35</v>
      </c>
      <c r="I30">
        <v>57</v>
      </c>
      <c r="J30" s="1">
        <v>345700</v>
      </c>
      <c r="K30" s="1">
        <v>6153</v>
      </c>
      <c r="L30" s="1"/>
    </row>
    <row r="31" spans="1:15" x14ac:dyDescent="0.3">
      <c r="A31" t="s">
        <v>22</v>
      </c>
      <c r="B31" t="s">
        <v>25</v>
      </c>
      <c r="C31">
        <v>-77.025674972000004</v>
      </c>
      <c r="D31">
        <v>-12.081947206000001</v>
      </c>
      <c r="E31">
        <v>121</v>
      </c>
      <c r="F31">
        <v>28</v>
      </c>
      <c r="G31">
        <v>3</v>
      </c>
      <c r="H31">
        <v>69</v>
      </c>
      <c r="I31">
        <v>70</v>
      </c>
      <c r="J31" s="1">
        <v>427447</v>
      </c>
      <c r="K31" s="1">
        <v>6155</v>
      </c>
      <c r="L31" s="1"/>
    </row>
    <row r="32" spans="1:15" x14ac:dyDescent="0.3">
      <c r="A32" t="s">
        <v>22</v>
      </c>
      <c r="B32" t="s">
        <v>26</v>
      </c>
      <c r="C32">
        <v>-77.011461174999994</v>
      </c>
      <c r="D32">
        <v>-12.081376261999999</v>
      </c>
      <c r="E32">
        <v>109</v>
      </c>
      <c r="F32">
        <v>22</v>
      </c>
      <c r="G32">
        <v>1</v>
      </c>
      <c r="H32">
        <v>7</v>
      </c>
      <c r="I32">
        <v>34</v>
      </c>
      <c r="J32" s="1">
        <v>209907</v>
      </c>
      <c r="K32" s="1">
        <v>6231</v>
      </c>
      <c r="L32" s="3">
        <f>+SUMPRODUCT(G32:G34,$H$32:$H$34)/SUM($H$32:$H$34)</f>
        <v>2.4954128440366974</v>
      </c>
      <c r="M32" s="1">
        <f>+SUMPRODUCT(I32:I34,$H$32:$H$34)/SUM($H$32:$H$34)</f>
        <v>63.357798165137616</v>
      </c>
      <c r="N32" s="1">
        <f t="shared" ref="N32:O32" si="7">+SUMPRODUCT(J32:J34,$H$32:$H$34)/SUM($H$32:$H$34)</f>
        <v>381197.73394495412</v>
      </c>
      <c r="O32" s="1">
        <f t="shared" si="7"/>
        <v>6147.7981651376149</v>
      </c>
    </row>
    <row r="33" spans="1:15" x14ac:dyDescent="0.3">
      <c r="A33" t="s">
        <v>22</v>
      </c>
      <c r="B33" t="s">
        <v>26</v>
      </c>
      <c r="C33">
        <v>-77.011461174999994</v>
      </c>
      <c r="D33">
        <v>-12.081376261999999</v>
      </c>
      <c r="E33">
        <v>109</v>
      </c>
      <c r="F33">
        <v>22</v>
      </c>
      <c r="G33">
        <v>2</v>
      </c>
      <c r="H33">
        <v>41</v>
      </c>
      <c r="I33">
        <v>57</v>
      </c>
      <c r="J33" s="1">
        <v>333228</v>
      </c>
      <c r="K33" s="1">
        <v>6047</v>
      </c>
      <c r="L33" s="1"/>
    </row>
    <row r="34" spans="1:15" x14ac:dyDescent="0.3">
      <c r="A34" t="s">
        <v>22</v>
      </c>
      <c r="B34" t="s">
        <v>26</v>
      </c>
      <c r="C34">
        <v>-77.011461174999994</v>
      </c>
      <c r="D34">
        <v>-12.081376261999999</v>
      </c>
      <c r="E34">
        <v>109</v>
      </c>
      <c r="F34">
        <v>22</v>
      </c>
      <c r="G34">
        <v>3</v>
      </c>
      <c r="H34">
        <v>61</v>
      </c>
      <c r="I34">
        <v>71</v>
      </c>
      <c r="J34" s="1">
        <v>433096</v>
      </c>
      <c r="K34" s="1">
        <v>6206</v>
      </c>
      <c r="L34" s="1"/>
    </row>
    <row r="35" spans="1:15" x14ac:dyDescent="0.3">
      <c r="A35" t="s">
        <v>22</v>
      </c>
      <c r="B35" t="s">
        <v>27</v>
      </c>
      <c r="C35">
        <v>-77.011430899999993</v>
      </c>
      <c r="D35">
        <v>-12.081341399999999</v>
      </c>
      <c r="E35">
        <v>76</v>
      </c>
      <c r="F35">
        <v>20</v>
      </c>
      <c r="G35">
        <v>1</v>
      </c>
      <c r="H35">
        <v>5</v>
      </c>
      <c r="I35">
        <v>36</v>
      </c>
      <c r="J35" s="1">
        <v>229820</v>
      </c>
      <c r="K35" s="1">
        <v>6622</v>
      </c>
      <c r="L35" s="3">
        <f>+SUMPRODUCT(G35:G37,$H$35:$H$37)/SUM($H$35:$H$37)</f>
        <v>2.5</v>
      </c>
      <c r="M35" s="1">
        <f>+SUMPRODUCT(I35:I37,$H$35:$H$37)/SUM($H$35:$H$37)</f>
        <v>68.434210526315795</v>
      </c>
      <c r="N35" s="1">
        <f t="shared" ref="N35:O35" si="8">+SUMPRODUCT(J35:J37,$H$35:$H$37)/SUM($H$35:$H$37)</f>
        <v>428889</v>
      </c>
      <c r="O35" s="1">
        <f t="shared" si="8"/>
        <v>6540.6578947368425</v>
      </c>
    </row>
    <row r="36" spans="1:15" x14ac:dyDescent="0.3">
      <c r="A36" t="s">
        <v>22</v>
      </c>
      <c r="B36" t="s">
        <v>27</v>
      </c>
      <c r="C36">
        <v>-77.011430899999993</v>
      </c>
      <c r="D36">
        <v>-12.081341399999999</v>
      </c>
      <c r="E36">
        <v>76</v>
      </c>
      <c r="F36">
        <v>20</v>
      </c>
      <c r="G36">
        <v>2</v>
      </c>
      <c r="H36">
        <v>28</v>
      </c>
      <c r="I36">
        <v>58</v>
      </c>
      <c r="J36" s="1">
        <v>388476</v>
      </c>
      <c r="K36" s="1">
        <v>6779</v>
      </c>
      <c r="L36" s="1"/>
    </row>
    <row r="37" spans="1:15" x14ac:dyDescent="0.3">
      <c r="A37" t="s">
        <v>22</v>
      </c>
      <c r="B37" t="s">
        <v>27</v>
      </c>
      <c r="C37">
        <v>-77.011430899999993</v>
      </c>
      <c r="D37">
        <v>-12.081341399999999</v>
      </c>
      <c r="E37">
        <v>76</v>
      </c>
      <c r="F37">
        <v>20</v>
      </c>
      <c r="G37">
        <v>3</v>
      </c>
      <c r="H37">
        <v>43</v>
      </c>
      <c r="I37">
        <v>79</v>
      </c>
      <c r="J37" s="1">
        <v>478352</v>
      </c>
      <c r="K37" s="1">
        <v>6376</v>
      </c>
      <c r="L37" s="1"/>
    </row>
    <row r="38" spans="1:15" x14ac:dyDescent="0.3">
      <c r="A38" t="s">
        <v>22</v>
      </c>
      <c r="B38" t="s">
        <v>28</v>
      </c>
      <c r="C38">
        <v>-77.011543660000001</v>
      </c>
      <c r="D38">
        <v>-12.081414775000001</v>
      </c>
      <c r="E38">
        <v>92</v>
      </c>
      <c r="F38">
        <v>17</v>
      </c>
      <c r="G38">
        <v>1</v>
      </c>
      <c r="H38">
        <v>5</v>
      </c>
      <c r="I38">
        <v>33</v>
      </c>
      <c r="J38" s="1">
        <v>199983</v>
      </c>
      <c r="K38" s="1">
        <v>6079</v>
      </c>
      <c r="L38" s="3">
        <f>+SUMPRODUCT(G38:G40,$H$38:$H$40)/SUM($H$38:$H$40)</f>
        <v>2.5217391304347827</v>
      </c>
      <c r="M38" s="1">
        <f>+SUMPRODUCT(I38:I40,$H$38:$H$40)/SUM($H$38:$H$40)</f>
        <v>64.380434782608702</v>
      </c>
      <c r="N38" s="1">
        <f t="shared" ref="N38:O38" si="9">+SUMPRODUCT(J38:J40,$H$38:$H$40)/SUM($H$38:$H$40)</f>
        <v>346965.32608695654</v>
      </c>
      <c r="O38" s="1">
        <f t="shared" si="9"/>
        <v>5612.717391304348</v>
      </c>
    </row>
    <row r="39" spans="1:15" x14ac:dyDescent="0.3">
      <c r="A39" t="s">
        <v>22</v>
      </c>
      <c r="B39" t="s">
        <v>28</v>
      </c>
      <c r="C39">
        <v>-77.011543660000001</v>
      </c>
      <c r="D39">
        <v>-12.081414775000001</v>
      </c>
      <c r="E39">
        <v>92</v>
      </c>
      <c r="F39">
        <v>17</v>
      </c>
      <c r="G39">
        <v>2</v>
      </c>
      <c r="H39">
        <v>34</v>
      </c>
      <c r="I39">
        <v>54</v>
      </c>
      <c r="J39" s="1">
        <v>290939</v>
      </c>
      <c r="K39" s="1">
        <v>5578</v>
      </c>
      <c r="L39" s="1"/>
    </row>
    <row r="40" spans="1:15" x14ac:dyDescent="0.3">
      <c r="A40" t="s">
        <v>22</v>
      </c>
      <c r="B40" t="s">
        <v>28</v>
      </c>
      <c r="C40">
        <v>-77.011543660000001</v>
      </c>
      <c r="D40">
        <v>-12.081414775000001</v>
      </c>
      <c r="E40">
        <v>92</v>
      </c>
      <c r="F40">
        <v>17</v>
      </c>
      <c r="G40">
        <v>3</v>
      </c>
      <c r="H40">
        <v>53</v>
      </c>
      <c r="I40">
        <v>74</v>
      </c>
      <c r="J40" s="1">
        <v>396773</v>
      </c>
      <c r="K40" s="1">
        <v>5591</v>
      </c>
      <c r="L40" s="1"/>
    </row>
    <row r="41" spans="1:15" x14ac:dyDescent="0.3">
      <c r="A41" t="s">
        <v>22</v>
      </c>
      <c r="B41" t="s">
        <v>29</v>
      </c>
      <c r="C41">
        <v>-77.011443740999994</v>
      </c>
      <c r="D41">
        <v>-12.081378884999999</v>
      </c>
      <c r="E41">
        <v>78</v>
      </c>
      <c r="F41">
        <v>21</v>
      </c>
      <c r="G41">
        <v>1</v>
      </c>
      <c r="H41">
        <v>4</v>
      </c>
      <c r="I41">
        <v>37</v>
      </c>
      <c r="J41" s="1">
        <v>223971</v>
      </c>
      <c r="K41" s="1">
        <v>6257</v>
      </c>
      <c r="L41" s="3">
        <f>+SUMPRODUCT(G41:G43,$H$41:$H$43)/SUM($H$41:$H$43)</f>
        <v>2.5</v>
      </c>
      <c r="M41" s="1">
        <f>+SUMPRODUCT(I41:I43,$H$41:$H$43)/SUM($H$41:$H$43)</f>
        <v>66.935897435897431</v>
      </c>
      <c r="N41" s="1">
        <f t="shared" ref="N41:O41" si="10">+SUMPRODUCT(J41:J43,$H$41:$H$43)/SUM($H$41:$H$43)</f>
        <v>379473.08974358975</v>
      </c>
      <c r="O41" s="1">
        <f t="shared" si="10"/>
        <v>5816.0512820512822</v>
      </c>
    </row>
    <row r="42" spans="1:15" x14ac:dyDescent="0.3">
      <c r="A42" t="s">
        <v>22</v>
      </c>
      <c r="B42" t="s">
        <v>29</v>
      </c>
      <c r="C42">
        <v>-77.011443740999994</v>
      </c>
      <c r="D42">
        <v>-12.081378884999999</v>
      </c>
      <c r="E42">
        <v>78</v>
      </c>
      <c r="F42">
        <v>21</v>
      </c>
      <c r="G42">
        <v>2</v>
      </c>
      <c r="H42">
        <v>31</v>
      </c>
      <c r="I42">
        <v>61</v>
      </c>
      <c r="J42" s="1">
        <v>344068</v>
      </c>
      <c r="K42" s="1">
        <v>5762</v>
      </c>
      <c r="L42" s="1"/>
    </row>
    <row r="43" spans="1:15" x14ac:dyDescent="0.3">
      <c r="A43" t="s">
        <v>22</v>
      </c>
      <c r="B43" t="s">
        <v>29</v>
      </c>
      <c r="C43">
        <v>-77.011443740999994</v>
      </c>
      <c r="D43">
        <v>-12.081378884999999</v>
      </c>
      <c r="E43">
        <v>78</v>
      </c>
      <c r="F43">
        <v>21</v>
      </c>
      <c r="G43">
        <v>3</v>
      </c>
      <c r="H43">
        <v>43</v>
      </c>
      <c r="I43">
        <v>74</v>
      </c>
      <c r="J43" s="1">
        <v>419463</v>
      </c>
      <c r="K43" s="1">
        <v>5814</v>
      </c>
      <c r="L43" s="1"/>
    </row>
    <row r="44" spans="1:15" x14ac:dyDescent="0.3">
      <c r="A44" t="s">
        <v>22</v>
      </c>
      <c r="B44" t="s">
        <v>30</v>
      </c>
      <c r="C44">
        <v>-77.012019300000006</v>
      </c>
      <c r="D44">
        <v>-12.0811666</v>
      </c>
      <c r="E44">
        <v>286</v>
      </c>
      <c r="F44">
        <v>25</v>
      </c>
      <c r="G44">
        <v>1</v>
      </c>
      <c r="H44">
        <v>66</v>
      </c>
      <c r="I44">
        <v>36</v>
      </c>
      <c r="J44" s="1">
        <v>297725</v>
      </c>
      <c r="K44" s="1">
        <v>8251</v>
      </c>
      <c r="L44" s="3">
        <f>+SUMPRODUCT(G44:G46,$H$44:$H$46)/SUM($H$44:$H$46)</f>
        <v>2.0419580419580421</v>
      </c>
      <c r="M44" s="3">
        <f>+SUMPRODUCT(I44:I46,$H$44:$H$46)/SUM($H$44:$H$46)</f>
        <v>53.83916083916084</v>
      </c>
      <c r="N44" s="3">
        <f t="shared" ref="N44:O44" si="11">+SUMPRODUCT(J44:J46,$H$44:$H$46)/SUM($H$44:$H$46)</f>
        <v>407725.55244755244</v>
      </c>
      <c r="O44" s="3">
        <f t="shared" si="11"/>
        <v>7803.5104895104896</v>
      </c>
    </row>
    <row r="45" spans="1:15" x14ac:dyDescent="0.3">
      <c r="A45" t="s">
        <v>22</v>
      </c>
      <c r="B45" t="s">
        <v>30</v>
      </c>
      <c r="C45">
        <v>-77.012019300000006</v>
      </c>
      <c r="D45">
        <v>-12.0811666</v>
      </c>
      <c r="E45">
        <v>286</v>
      </c>
      <c r="F45">
        <v>25</v>
      </c>
      <c r="G45">
        <v>2</v>
      </c>
      <c r="H45">
        <v>142</v>
      </c>
      <c r="I45">
        <v>56</v>
      </c>
      <c r="J45" s="1">
        <v>413748</v>
      </c>
      <c r="K45" s="1">
        <v>7676</v>
      </c>
      <c r="L45" s="1"/>
    </row>
    <row r="46" spans="1:15" x14ac:dyDescent="0.3">
      <c r="A46" t="s">
        <v>22</v>
      </c>
      <c r="B46" t="s">
        <v>30</v>
      </c>
      <c r="C46">
        <v>-77.012019300000006</v>
      </c>
      <c r="D46">
        <v>-12.0811666</v>
      </c>
      <c r="E46">
        <v>286</v>
      </c>
      <c r="F46">
        <v>25</v>
      </c>
      <c r="G46">
        <v>3</v>
      </c>
      <c r="H46">
        <v>78</v>
      </c>
      <c r="I46">
        <v>65</v>
      </c>
      <c r="J46" s="1">
        <v>489839</v>
      </c>
      <c r="K46" s="1">
        <v>7657</v>
      </c>
      <c r="L46" s="1"/>
    </row>
    <row r="47" spans="1:15" x14ac:dyDescent="0.3">
      <c r="A47" t="s">
        <v>22</v>
      </c>
      <c r="B47" t="s">
        <v>31</v>
      </c>
      <c r="C47">
        <v>-77.012099399999997</v>
      </c>
      <c r="D47">
        <v>-12.0819166</v>
      </c>
      <c r="E47">
        <v>182</v>
      </c>
      <c r="F47">
        <v>27</v>
      </c>
      <c r="G47">
        <v>1</v>
      </c>
      <c r="H47">
        <v>40</v>
      </c>
      <c r="I47">
        <v>39</v>
      </c>
      <c r="J47" s="1">
        <v>320275</v>
      </c>
      <c r="K47" s="1">
        <v>8170</v>
      </c>
      <c r="L47" s="3">
        <f>+SUMPRODUCT(G47:G49,$H$47:$H$49)/SUM($H$47:$H$49)</f>
        <v>2</v>
      </c>
      <c r="M47" s="1">
        <f>+SUMPRODUCT(I47:I49,$H$47:$H$49)/SUM($H$47:$H$49)</f>
        <v>54.439560439560438</v>
      </c>
      <c r="N47" s="1">
        <f t="shared" ref="N47:O47" si="12">+SUMPRODUCT(J47:J49,$H$47:$H$49)/SUM($H$47:$H$49)</f>
        <v>395926.25274725276</v>
      </c>
      <c r="O47" s="1">
        <f t="shared" si="12"/>
        <v>7414.4285714285716</v>
      </c>
    </row>
    <row r="48" spans="1:15" x14ac:dyDescent="0.3">
      <c r="A48" t="s">
        <v>22</v>
      </c>
      <c r="B48" t="s">
        <v>31</v>
      </c>
      <c r="C48">
        <v>-77.012099399999997</v>
      </c>
      <c r="D48">
        <v>-12.0819166</v>
      </c>
      <c r="E48">
        <v>182</v>
      </c>
      <c r="F48">
        <v>27</v>
      </c>
      <c r="G48">
        <v>2</v>
      </c>
      <c r="H48">
        <v>102</v>
      </c>
      <c r="I48">
        <v>54</v>
      </c>
      <c r="J48" s="1">
        <v>397579</v>
      </c>
      <c r="K48" s="1">
        <v>7443</v>
      </c>
      <c r="L48" s="1"/>
    </row>
    <row r="49" spans="1:15" x14ac:dyDescent="0.3">
      <c r="A49" t="s">
        <v>22</v>
      </c>
      <c r="B49" t="s">
        <v>31</v>
      </c>
      <c r="C49">
        <v>-77.012099399999997</v>
      </c>
      <c r="D49">
        <v>-12.0819166</v>
      </c>
      <c r="E49">
        <v>182</v>
      </c>
      <c r="F49">
        <v>27</v>
      </c>
      <c r="G49">
        <v>3</v>
      </c>
      <c r="H49">
        <v>40</v>
      </c>
      <c r="I49">
        <v>71</v>
      </c>
      <c r="J49" s="1">
        <v>467363</v>
      </c>
      <c r="K49" s="1">
        <v>6586</v>
      </c>
      <c r="L49" s="1"/>
    </row>
    <row r="50" spans="1:15" x14ac:dyDescent="0.3">
      <c r="A50" t="s">
        <v>32</v>
      </c>
      <c r="B50" t="s">
        <v>33</v>
      </c>
      <c r="C50">
        <v>-77.01527059</v>
      </c>
      <c r="D50">
        <v>-12.083428881</v>
      </c>
      <c r="E50">
        <v>21</v>
      </c>
      <c r="F50">
        <v>8</v>
      </c>
      <c r="G50">
        <v>2</v>
      </c>
      <c r="H50">
        <v>1</v>
      </c>
      <c r="I50">
        <v>65</v>
      </c>
      <c r="J50" s="1">
        <v>512093</v>
      </c>
      <c r="K50" s="1">
        <v>7878</v>
      </c>
      <c r="L50" s="3">
        <f>+SUMPRODUCT(G50:G51,$H$50:$H$51)/SUM($H$50:$H$51)</f>
        <v>2.9523809523809526</v>
      </c>
      <c r="M50" s="1">
        <f>+SUMPRODUCT(I50:I51,$H$50:$H$51)/SUM($H$50:$H$51)</f>
        <v>90.714285714285708</v>
      </c>
      <c r="N50" s="1">
        <f t="shared" ref="N50:O50" si="13">+SUMPRODUCT(J50:J51,$H$50:$H$51)/SUM($H$50:$H$51)</f>
        <v>646373.95238095243</v>
      </c>
      <c r="O50" s="1">
        <f t="shared" si="13"/>
        <v>7276.0952380952385</v>
      </c>
    </row>
    <row r="51" spans="1:15" x14ac:dyDescent="0.3">
      <c r="A51" t="s">
        <v>32</v>
      </c>
      <c r="B51" t="s">
        <v>33</v>
      </c>
      <c r="C51">
        <v>-77.01527059</v>
      </c>
      <c r="D51">
        <v>-12.083428881</v>
      </c>
      <c r="E51">
        <v>21</v>
      </c>
      <c r="F51">
        <v>8</v>
      </c>
      <c r="G51">
        <v>3</v>
      </c>
      <c r="H51">
        <v>20</v>
      </c>
      <c r="I51">
        <v>92</v>
      </c>
      <c r="J51" s="1">
        <v>653088</v>
      </c>
      <c r="K51" s="1">
        <v>7246</v>
      </c>
      <c r="L51" s="1"/>
    </row>
    <row r="52" spans="1:15" x14ac:dyDescent="0.3">
      <c r="A52" t="s">
        <v>34</v>
      </c>
      <c r="B52" t="s">
        <v>35</v>
      </c>
      <c r="C52">
        <v>-77.018226100000007</v>
      </c>
      <c r="D52">
        <v>-12.089453799999999</v>
      </c>
      <c r="E52">
        <v>395</v>
      </c>
      <c r="F52">
        <v>37</v>
      </c>
      <c r="G52">
        <v>1</v>
      </c>
      <c r="H52">
        <v>251</v>
      </c>
      <c r="I52">
        <v>37</v>
      </c>
      <c r="J52" s="1">
        <v>281596</v>
      </c>
      <c r="K52" s="1">
        <v>7615</v>
      </c>
      <c r="L52" s="3">
        <f>+SUMPRODUCT(G52:G54,$H$52:$H$54)/SUM($H$52:$H$54)</f>
        <v>1.5468354430379747</v>
      </c>
      <c r="M52" s="1">
        <f>+SUMPRODUCT(I52:I54,$H$52:$H$54)/SUM($H$52:$H$54)</f>
        <v>47.936708860759495</v>
      </c>
      <c r="N52" s="1">
        <f t="shared" ref="N52:O52" si="14">+SUMPRODUCT(J52:J54,$H$52:$H$54)/SUM($H$52:$H$54)</f>
        <v>347068.42531645572</v>
      </c>
      <c r="O52" s="1">
        <f t="shared" si="14"/>
        <v>7358.8987341772154</v>
      </c>
    </row>
    <row r="53" spans="1:15" x14ac:dyDescent="0.3">
      <c r="A53" t="s">
        <v>34</v>
      </c>
      <c r="B53" t="s">
        <v>35</v>
      </c>
      <c r="C53">
        <v>-77.018226100000007</v>
      </c>
      <c r="D53">
        <v>-12.089453799999999</v>
      </c>
      <c r="E53">
        <v>395</v>
      </c>
      <c r="F53">
        <v>37</v>
      </c>
      <c r="G53">
        <v>2</v>
      </c>
      <c r="H53">
        <v>72</v>
      </c>
      <c r="I53">
        <v>60</v>
      </c>
      <c r="J53" s="1">
        <v>422674</v>
      </c>
      <c r="K53" s="1">
        <v>7058</v>
      </c>
      <c r="L53" s="1"/>
    </row>
    <row r="54" spans="1:15" x14ac:dyDescent="0.3">
      <c r="A54" t="s">
        <v>34</v>
      </c>
      <c r="B54" t="s">
        <v>35</v>
      </c>
      <c r="C54">
        <v>-77.018226100000007</v>
      </c>
      <c r="D54">
        <v>-12.089453799999999</v>
      </c>
      <c r="E54">
        <v>395</v>
      </c>
      <c r="F54">
        <v>37</v>
      </c>
      <c r="G54">
        <v>3</v>
      </c>
      <c r="H54">
        <v>72</v>
      </c>
      <c r="I54">
        <v>74</v>
      </c>
      <c r="J54" s="1">
        <v>499707</v>
      </c>
      <c r="K54" s="1">
        <v>6767</v>
      </c>
      <c r="L54" s="1"/>
    </row>
    <row r="55" spans="1:15" x14ac:dyDescent="0.3">
      <c r="A55" t="s">
        <v>36</v>
      </c>
      <c r="B55" t="s">
        <v>37</v>
      </c>
      <c r="C55">
        <v>-77.024837300000002</v>
      </c>
      <c r="D55">
        <v>-12.084188299999999</v>
      </c>
      <c r="E55">
        <v>220</v>
      </c>
      <c r="F55">
        <v>22</v>
      </c>
      <c r="G55">
        <v>1</v>
      </c>
      <c r="H55">
        <v>23</v>
      </c>
      <c r="I55">
        <v>44</v>
      </c>
      <c r="J55" s="1">
        <v>297085</v>
      </c>
      <c r="K55" s="1">
        <v>6754</v>
      </c>
      <c r="L55" s="3">
        <f>+SUMPRODUCT(G55:G57,$H$55:$H$57)/SUM($H$55:$H$57)</f>
        <v>2.0909090909090908</v>
      </c>
      <c r="M55" s="1">
        <f>+SUMPRODUCT(I55:I57,$H$55:$H$57)/SUM($H$55:$H$57)</f>
        <v>54.372727272727275</v>
      </c>
      <c r="N55" s="1">
        <f t="shared" ref="N55:O55" si="15">+SUMPRODUCT(J55:J57,$H$55:$H$57)/SUM($H$55:$H$57)</f>
        <v>367061.57727272727</v>
      </c>
      <c r="O55" s="1">
        <f t="shared" si="15"/>
        <v>6788.8909090909092</v>
      </c>
    </row>
    <row r="56" spans="1:15" x14ac:dyDescent="0.3">
      <c r="A56" t="s">
        <v>36</v>
      </c>
      <c r="B56" t="s">
        <v>37</v>
      </c>
      <c r="C56">
        <v>-77.024837300000002</v>
      </c>
      <c r="D56">
        <v>-12.084188299999999</v>
      </c>
      <c r="E56">
        <v>220</v>
      </c>
      <c r="F56">
        <v>22</v>
      </c>
      <c r="G56">
        <v>2</v>
      </c>
      <c r="H56">
        <v>154</v>
      </c>
      <c r="I56">
        <v>51</v>
      </c>
      <c r="J56" s="1">
        <v>350948</v>
      </c>
      <c r="K56" s="1">
        <v>6877</v>
      </c>
      <c r="L56" s="1"/>
    </row>
    <row r="57" spans="1:15" x14ac:dyDescent="0.3">
      <c r="A57" t="s">
        <v>36</v>
      </c>
      <c r="B57" t="s">
        <v>37</v>
      </c>
      <c r="C57">
        <v>-77.024837300000002</v>
      </c>
      <c r="D57">
        <v>-12.084188299999999</v>
      </c>
      <c r="E57">
        <v>220</v>
      </c>
      <c r="F57">
        <v>22</v>
      </c>
      <c r="G57">
        <v>3</v>
      </c>
      <c r="H57">
        <v>43</v>
      </c>
      <c r="I57">
        <v>72</v>
      </c>
      <c r="J57" s="1">
        <v>462200</v>
      </c>
      <c r="K57" s="1">
        <v>6492</v>
      </c>
      <c r="L57" s="1"/>
    </row>
    <row r="58" spans="1:15" x14ac:dyDescent="0.3">
      <c r="A58" t="s">
        <v>38</v>
      </c>
      <c r="B58" t="s">
        <v>39</v>
      </c>
      <c r="C58">
        <v>-77.027727499999997</v>
      </c>
      <c r="D58">
        <v>-12.078346099999999</v>
      </c>
      <c r="E58">
        <v>211</v>
      </c>
      <c r="F58">
        <v>28</v>
      </c>
      <c r="G58">
        <v>1</v>
      </c>
      <c r="H58">
        <v>23</v>
      </c>
      <c r="I58">
        <v>39</v>
      </c>
      <c r="J58" s="1">
        <v>237690</v>
      </c>
      <c r="K58" s="1">
        <v>6073</v>
      </c>
      <c r="L58" s="3">
        <f>+SUMPRODUCT(G58:G60,$H$58:$H$60)/SUM($H$58:$H$60)</f>
        <v>2.3080568720379149</v>
      </c>
      <c r="M58" s="1">
        <f>+SUMPRODUCT(I58:I60,$H$58:$H$60)/SUM($H$58:$H$60)</f>
        <v>56.781990521327018</v>
      </c>
      <c r="N58" s="1">
        <f t="shared" ref="N58:O58" si="16">+SUMPRODUCT(J58:J60,$H$58:$H$60)/SUM($H$58:$H$60)</f>
        <v>328222.32227488153</v>
      </c>
      <c r="O58" s="1">
        <f t="shared" si="16"/>
        <v>5806.990521327014</v>
      </c>
    </row>
    <row r="59" spans="1:15" x14ac:dyDescent="0.3">
      <c r="A59" t="s">
        <v>38</v>
      </c>
      <c r="B59" t="s">
        <v>39</v>
      </c>
      <c r="C59">
        <v>-77.027727499999997</v>
      </c>
      <c r="D59">
        <v>-12.078346099999999</v>
      </c>
      <c r="E59">
        <v>211</v>
      </c>
      <c r="F59">
        <v>28</v>
      </c>
      <c r="G59">
        <v>2</v>
      </c>
      <c r="H59">
        <v>100</v>
      </c>
      <c r="I59">
        <v>51</v>
      </c>
      <c r="J59" s="1">
        <v>300506</v>
      </c>
      <c r="K59" s="1">
        <v>5891</v>
      </c>
      <c r="L59" s="1"/>
    </row>
    <row r="60" spans="1:15" x14ac:dyDescent="0.3">
      <c r="A60" t="s">
        <v>38</v>
      </c>
      <c r="B60" t="s">
        <v>39</v>
      </c>
      <c r="C60">
        <v>-77.027727499999997</v>
      </c>
      <c r="D60">
        <v>-12.078346099999999</v>
      </c>
      <c r="E60">
        <v>211</v>
      </c>
      <c r="F60">
        <v>28</v>
      </c>
      <c r="G60">
        <v>3</v>
      </c>
      <c r="H60">
        <v>88</v>
      </c>
      <c r="I60">
        <v>68</v>
      </c>
      <c r="J60" s="1">
        <v>383380</v>
      </c>
      <c r="K60" s="1">
        <v>5642</v>
      </c>
      <c r="L60" s="1"/>
    </row>
    <row r="61" spans="1:15" x14ac:dyDescent="0.3">
      <c r="A61" t="s">
        <v>38</v>
      </c>
      <c r="B61" t="s">
        <v>40</v>
      </c>
      <c r="C61">
        <v>-77.0278469</v>
      </c>
      <c r="D61">
        <v>-12.078097400000001</v>
      </c>
      <c r="E61">
        <v>135</v>
      </c>
      <c r="F61">
        <v>28</v>
      </c>
      <c r="G61">
        <v>1</v>
      </c>
      <c r="H61">
        <v>27</v>
      </c>
      <c r="I61">
        <v>32</v>
      </c>
      <c r="J61" s="1">
        <v>229984</v>
      </c>
      <c r="K61" s="1">
        <v>7253</v>
      </c>
      <c r="L61" s="3">
        <f>+SUMPRODUCT(G61:G63,$H$61:$H$63)/SUM($H$61:$H$63)</f>
        <v>2</v>
      </c>
      <c r="M61" s="1">
        <f>+SUMPRODUCT(I61:I63,$H$61:$H$63)/SUM($H$61:$H$63)</f>
        <v>51.2</v>
      </c>
      <c r="N61" s="1">
        <f t="shared" ref="N61:O61" si="17">+SUMPRODUCT(J61:J63,$H$61:$H$63)/SUM($H$61:$H$63)</f>
        <v>318274.59999999998</v>
      </c>
      <c r="O61" s="1">
        <f t="shared" si="17"/>
        <v>6313.4</v>
      </c>
    </row>
    <row r="62" spans="1:15" x14ac:dyDescent="0.3">
      <c r="A62" t="s">
        <v>38</v>
      </c>
      <c r="B62" t="s">
        <v>40</v>
      </c>
      <c r="C62">
        <v>-77.0278469</v>
      </c>
      <c r="D62">
        <v>-12.078097400000001</v>
      </c>
      <c r="E62">
        <v>135</v>
      </c>
      <c r="F62">
        <v>28</v>
      </c>
      <c r="G62">
        <v>2</v>
      </c>
      <c r="H62">
        <v>81</v>
      </c>
      <c r="I62">
        <v>52</v>
      </c>
      <c r="J62" s="1">
        <v>319199</v>
      </c>
      <c r="K62" s="1">
        <v>6131</v>
      </c>
      <c r="L62" s="1"/>
    </row>
    <row r="63" spans="1:15" x14ac:dyDescent="0.3">
      <c r="A63" t="s">
        <v>38</v>
      </c>
      <c r="B63" t="s">
        <v>40</v>
      </c>
      <c r="C63">
        <v>-77.0278469</v>
      </c>
      <c r="D63">
        <v>-12.078097400000001</v>
      </c>
      <c r="E63">
        <v>135</v>
      </c>
      <c r="F63">
        <v>28</v>
      </c>
      <c r="G63">
        <v>3</v>
      </c>
      <c r="H63">
        <v>27</v>
      </c>
      <c r="I63">
        <v>68</v>
      </c>
      <c r="J63" s="1">
        <v>403792</v>
      </c>
      <c r="K63" s="1">
        <v>5921</v>
      </c>
      <c r="L63" s="1"/>
    </row>
    <row r="64" spans="1:15" x14ac:dyDescent="0.3">
      <c r="A64" t="s">
        <v>41</v>
      </c>
      <c r="B64" t="s">
        <v>42</v>
      </c>
      <c r="C64">
        <v>-77.017731299999994</v>
      </c>
      <c r="D64">
        <v>-12.088765499999999</v>
      </c>
      <c r="E64">
        <v>182</v>
      </c>
      <c r="F64">
        <v>17</v>
      </c>
      <c r="G64">
        <v>1</v>
      </c>
      <c r="H64">
        <v>69</v>
      </c>
      <c r="I64">
        <v>44</v>
      </c>
      <c r="J64" s="1">
        <v>325482</v>
      </c>
      <c r="K64" s="1">
        <v>7418</v>
      </c>
      <c r="L64" s="3">
        <f>+SUMPRODUCT(G64:G66,$H$64:$H$66)/SUM($H$64:$H$66)</f>
        <v>1.7197802197802199</v>
      </c>
      <c r="M64" s="1">
        <f>+SUMPRODUCT(I64:I66,$H$64:$H$66)/SUM($H$64:$H$66)</f>
        <v>51.142857142857146</v>
      </c>
      <c r="N64" s="1">
        <f t="shared" ref="N64:O64" si="18">+SUMPRODUCT(J64:J66,$H$64:$H$66)/SUM($H$64:$H$66)</f>
        <v>370997.23626373627</v>
      </c>
      <c r="O64" s="1">
        <f t="shared" si="18"/>
        <v>7325.1043956043959</v>
      </c>
    </row>
    <row r="65" spans="1:15" x14ac:dyDescent="0.3">
      <c r="A65" t="s">
        <v>41</v>
      </c>
      <c r="B65" t="s">
        <v>42</v>
      </c>
      <c r="C65">
        <v>-77.017731299999994</v>
      </c>
      <c r="D65">
        <v>-12.088765499999999</v>
      </c>
      <c r="E65">
        <v>182</v>
      </c>
      <c r="F65">
        <v>17</v>
      </c>
      <c r="G65">
        <v>2</v>
      </c>
      <c r="H65">
        <v>95</v>
      </c>
      <c r="I65">
        <v>52</v>
      </c>
      <c r="J65" s="1">
        <v>375427</v>
      </c>
      <c r="K65" s="1">
        <v>7273</v>
      </c>
      <c r="L65" s="1"/>
    </row>
    <row r="66" spans="1:15" x14ac:dyDescent="0.3">
      <c r="A66" t="s">
        <v>41</v>
      </c>
      <c r="B66" t="s">
        <v>42</v>
      </c>
      <c r="C66">
        <v>-77.017731299999994</v>
      </c>
      <c r="D66">
        <v>-12.088765499999999</v>
      </c>
      <c r="E66">
        <v>182</v>
      </c>
      <c r="F66">
        <v>17</v>
      </c>
      <c r="G66">
        <v>3</v>
      </c>
      <c r="H66">
        <v>18</v>
      </c>
      <c r="I66">
        <v>74</v>
      </c>
      <c r="J66" s="1">
        <v>522093</v>
      </c>
      <c r="K66" s="1">
        <v>7244</v>
      </c>
      <c r="L66" s="1"/>
    </row>
    <row r="67" spans="1:15" x14ac:dyDescent="0.3">
      <c r="A67" t="s">
        <v>43</v>
      </c>
      <c r="B67" t="s">
        <v>44</v>
      </c>
      <c r="C67">
        <v>-77.019161699999998</v>
      </c>
      <c r="D67">
        <v>-12.0887575</v>
      </c>
      <c r="E67">
        <v>170</v>
      </c>
      <c r="F67">
        <v>21</v>
      </c>
      <c r="G67">
        <v>1</v>
      </c>
      <c r="H67">
        <v>27</v>
      </c>
      <c r="I67">
        <v>46</v>
      </c>
      <c r="J67" s="1">
        <v>286638</v>
      </c>
      <c r="K67" s="1">
        <v>6230</v>
      </c>
      <c r="L67" s="3">
        <f>+SUMPRODUCT(G67:G69,$H$67:$H$69)/SUM($H$67:$H$69)</f>
        <v>2.0119047619047619</v>
      </c>
      <c r="M67" s="1">
        <f>+SUMPRODUCT(I67:I69,$H$67:$H$69)/SUM($H$67:$H$69)</f>
        <v>75.357142857142861</v>
      </c>
      <c r="N67" s="1">
        <f t="shared" ref="N67:O67" si="19">+SUMPRODUCT(J67:J69,$H$67:$H$69)/SUM($H$67:$H$69)</f>
        <v>408293.71428571426</v>
      </c>
      <c r="O67" s="1">
        <f t="shared" si="19"/>
        <v>5619.7142857142853</v>
      </c>
    </row>
    <row r="68" spans="1:15" x14ac:dyDescent="0.3">
      <c r="A68" t="s">
        <v>43</v>
      </c>
      <c r="B68" t="s">
        <v>44</v>
      </c>
      <c r="C68">
        <v>-77.019161699999998</v>
      </c>
      <c r="D68">
        <v>-12.0887575</v>
      </c>
      <c r="E68">
        <v>170</v>
      </c>
      <c r="F68">
        <v>21</v>
      </c>
      <c r="G68">
        <v>2</v>
      </c>
      <c r="H68">
        <v>29</v>
      </c>
      <c r="I68">
        <v>76</v>
      </c>
      <c r="J68" s="1">
        <v>420958</v>
      </c>
      <c r="K68" s="1">
        <v>5562</v>
      </c>
      <c r="L68" s="1"/>
    </row>
    <row r="69" spans="1:15" x14ac:dyDescent="0.3">
      <c r="A69" t="s">
        <v>43</v>
      </c>
      <c r="B69" t="s">
        <v>44</v>
      </c>
      <c r="C69">
        <v>-77.019161699999998</v>
      </c>
      <c r="D69">
        <v>-12.0887575</v>
      </c>
      <c r="E69">
        <v>170</v>
      </c>
      <c r="F69">
        <v>21</v>
      </c>
      <c r="G69">
        <v>3</v>
      </c>
      <c r="H69">
        <v>28</v>
      </c>
      <c r="I69">
        <v>103</v>
      </c>
      <c r="J69" s="1">
        <v>512488</v>
      </c>
      <c r="K69" s="1">
        <v>5091</v>
      </c>
      <c r="L69" s="1"/>
    </row>
    <row r="70" spans="1:15" x14ac:dyDescent="0.3">
      <c r="A70" t="s">
        <v>45</v>
      </c>
      <c r="B70" t="s">
        <v>46</v>
      </c>
      <c r="C70">
        <v>-77.012853899999996</v>
      </c>
      <c r="D70">
        <v>-12.084114</v>
      </c>
      <c r="E70">
        <v>68</v>
      </c>
      <c r="F70">
        <v>20</v>
      </c>
      <c r="G70">
        <v>1</v>
      </c>
      <c r="H70">
        <v>14</v>
      </c>
      <c r="I70">
        <v>40</v>
      </c>
      <c r="J70" s="1">
        <v>226295</v>
      </c>
      <c r="K70" s="1">
        <v>5657</v>
      </c>
      <c r="L70" s="3">
        <f>+SUMPRODUCT(G70:G72,$H$70:$H$72)/SUM($H$70:$H$72)</f>
        <v>2.1764705882352939</v>
      </c>
      <c r="M70" s="1">
        <f>+SUMPRODUCT(I70:I72,$H$70:$H$72)/SUM($H$70:$H$72)</f>
        <v>64.882352941176464</v>
      </c>
      <c r="N70" s="1">
        <f t="shared" ref="N70:O70" si="20">+SUMPRODUCT(J70:J72,$H$70:$H$72)/SUM($H$70:$H$72)</f>
        <v>349353.85294117645</v>
      </c>
      <c r="O70" s="1">
        <f t="shared" si="20"/>
        <v>5444.1764705882351</v>
      </c>
    </row>
    <row r="71" spans="1:15" x14ac:dyDescent="0.3">
      <c r="A71" t="s">
        <v>45</v>
      </c>
      <c r="B71" t="s">
        <v>46</v>
      </c>
      <c r="C71">
        <v>-77.012853899999996</v>
      </c>
      <c r="D71">
        <v>-12.084114</v>
      </c>
      <c r="E71">
        <v>68</v>
      </c>
      <c r="F71">
        <v>20</v>
      </c>
      <c r="G71">
        <v>2</v>
      </c>
      <c r="H71">
        <v>28</v>
      </c>
      <c r="I71">
        <v>67</v>
      </c>
      <c r="J71" s="1">
        <v>352008</v>
      </c>
      <c r="K71" s="1">
        <v>5324</v>
      </c>
      <c r="L71" s="1"/>
    </row>
    <row r="72" spans="1:15" x14ac:dyDescent="0.3">
      <c r="A72" t="s">
        <v>45</v>
      </c>
      <c r="B72" t="s">
        <v>46</v>
      </c>
      <c r="C72">
        <v>-77.012853899999996</v>
      </c>
      <c r="D72">
        <v>-12.084114</v>
      </c>
      <c r="E72">
        <v>68</v>
      </c>
      <c r="F72">
        <v>20</v>
      </c>
      <c r="G72">
        <v>3</v>
      </c>
      <c r="H72">
        <v>26</v>
      </c>
      <c r="I72">
        <v>76</v>
      </c>
      <c r="J72" s="1">
        <v>412758</v>
      </c>
      <c r="K72" s="1">
        <v>5459</v>
      </c>
      <c r="L72" s="1"/>
    </row>
    <row r="73" spans="1:15" x14ac:dyDescent="0.3">
      <c r="A73" t="s">
        <v>45</v>
      </c>
      <c r="B73" t="s">
        <v>47</v>
      </c>
      <c r="C73">
        <v>-77.013117373</v>
      </c>
      <c r="D73">
        <v>-12.089071044000001</v>
      </c>
      <c r="E73">
        <v>38</v>
      </c>
      <c r="F73">
        <v>13</v>
      </c>
      <c r="G73">
        <v>2</v>
      </c>
      <c r="H73">
        <v>10</v>
      </c>
      <c r="I73">
        <v>56</v>
      </c>
      <c r="J73" s="1">
        <v>318983</v>
      </c>
      <c r="K73" s="1">
        <v>5737</v>
      </c>
      <c r="L73" s="3">
        <f>+SUMPRODUCT(G73:G75,$H$73:$H$75)/SUM($H$73:$H$75)</f>
        <v>2.763157894736842</v>
      </c>
      <c r="M73" s="1">
        <f>+SUMPRODUCT(I73:I75,$H$73:$H$75)/SUM($H$73:$H$75)</f>
        <v>72.71052631578948</v>
      </c>
      <c r="N73" s="1">
        <f t="shared" ref="N73:O73" si="21">+SUMPRODUCT(J73:J75,$H$73:$H$75)/SUM($H$73:$H$75)</f>
        <v>418558.55263157893</v>
      </c>
      <c r="O73" s="1">
        <f t="shared" si="21"/>
        <v>5821.7105263157891</v>
      </c>
    </row>
    <row r="74" spans="1:15" x14ac:dyDescent="0.3">
      <c r="A74" t="s">
        <v>45</v>
      </c>
      <c r="B74" t="s">
        <v>47</v>
      </c>
      <c r="C74">
        <v>-77.013117373</v>
      </c>
      <c r="D74">
        <v>-12.089071044000001</v>
      </c>
      <c r="E74">
        <v>38</v>
      </c>
      <c r="F74">
        <v>13</v>
      </c>
      <c r="G74">
        <v>3</v>
      </c>
      <c r="H74">
        <v>27</v>
      </c>
      <c r="I74">
        <v>77</v>
      </c>
      <c r="J74" s="1">
        <v>444280</v>
      </c>
      <c r="K74" s="1">
        <v>5854</v>
      </c>
      <c r="L74" s="1"/>
    </row>
    <row r="75" spans="1:15" x14ac:dyDescent="0.3">
      <c r="A75" t="s">
        <v>45</v>
      </c>
      <c r="B75" t="s">
        <v>47</v>
      </c>
      <c r="C75">
        <v>-77.013117373</v>
      </c>
      <c r="D75">
        <v>-12.089071044000001</v>
      </c>
      <c r="E75">
        <v>38</v>
      </c>
      <c r="F75">
        <v>13</v>
      </c>
      <c r="G75">
        <v>4</v>
      </c>
      <c r="H75">
        <v>1</v>
      </c>
      <c r="I75">
        <v>124</v>
      </c>
      <c r="J75" s="1">
        <v>719835</v>
      </c>
      <c r="K75" s="1">
        <v>5797</v>
      </c>
      <c r="L75" s="1"/>
    </row>
    <row r="76" spans="1:15" x14ac:dyDescent="0.3">
      <c r="A76" t="s">
        <v>48</v>
      </c>
      <c r="B76" t="s">
        <v>49</v>
      </c>
      <c r="C76">
        <v>-77.020989799999995</v>
      </c>
      <c r="D76">
        <v>-12.087021399999999</v>
      </c>
      <c r="E76">
        <v>150</v>
      </c>
      <c r="F76">
        <v>22</v>
      </c>
      <c r="G76">
        <v>1</v>
      </c>
      <c r="H76">
        <v>21</v>
      </c>
      <c r="I76">
        <v>41</v>
      </c>
      <c r="J76" s="1">
        <v>305360</v>
      </c>
      <c r="K76" s="1">
        <v>7385</v>
      </c>
      <c r="L76" s="3">
        <f>+SUMPRODUCT(G76:G78,$H$76:$H$78)/SUM($H$76:$H$78)</f>
        <v>2.2933333333333334</v>
      </c>
      <c r="M76" s="1">
        <f>+SUMPRODUCT(I76:I78,$H$76:$H$78)/SUM($H$76:$H$78)</f>
        <v>58.68</v>
      </c>
      <c r="N76" s="1">
        <f t="shared" ref="N76:O76" si="22">+SUMPRODUCT(J76:J78,$H$76:$H$78)/SUM($H$76:$H$78)</f>
        <v>419724.45333333331</v>
      </c>
      <c r="O76" s="1">
        <f t="shared" si="22"/>
        <v>7167.84</v>
      </c>
    </row>
    <row r="77" spans="1:15" x14ac:dyDescent="0.3">
      <c r="A77" t="s">
        <v>48</v>
      </c>
      <c r="B77" t="s">
        <v>49</v>
      </c>
      <c r="C77">
        <v>-77.020989799999995</v>
      </c>
      <c r="D77">
        <v>-12.087021399999999</v>
      </c>
      <c r="E77">
        <v>150</v>
      </c>
      <c r="F77">
        <v>22</v>
      </c>
      <c r="G77">
        <v>2</v>
      </c>
      <c r="H77">
        <v>64</v>
      </c>
      <c r="I77">
        <v>54</v>
      </c>
      <c r="J77" s="1">
        <v>391422</v>
      </c>
      <c r="K77" s="1">
        <v>7264</v>
      </c>
      <c r="L77" s="1"/>
    </row>
    <row r="78" spans="1:15" x14ac:dyDescent="0.3">
      <c r="A78" t="s">
        <v>48</v>
      </c>
      <c r="B78" t="s">
        <v>49</v>
      </c>
      <c r="C78">
        <v>-77.020989799999995</v>
      </c>
      <c r="D78">
        <v>-12.087021399999999</v>
      </c>
      <c r="E78">
        <v>150</v>
      </c>
      <c r="F78">
        <v>22</v>
      </c>
      <c r="G78">
        <v>3</v>
      </c>
      <c r="H78">
        <v>65</v>
      </c>
      <c r="I78">
        <v>69</v>
      </c>
      <c r="J78" s="1">
        <v>484540</v>
      </c>
      <c r="K78" s="1">
        <v>7003</v>
      </c>
      <c r="L78" s="1"/>
    </row>
    <row r="79" spans="1:15" x14ac:dyDescent="0.3">
      <c r="A79" t="s">
        <v>50</v>
      </c>
      <c r="B79" t="s">
        <v>51</v>
      </c>
      <c r="C79">
        <v>-77.014161053999999</v>
      </c>
      <c r="D79">
        <v>-12.088630566999999</v>
      </c>
      <c r="E79">
        <v>276</v>
      </c>
      <c r="F79">
        <v>31</v>
      </c>
      <c r="G79">
        <v>1</v>
      </c>
      <c r="H79">
        <v>111</v>
      </c>
      <c r="I79">
        <v>46</v>
      </c>
      <c r="J79" s="1">
        <v>312028</v>
      </c>
      <c r="K79" s="1">
        <v>6736</v>
      </c>
      <c r="L79" s="3">
        <f>+SUMPRODUCT(G79:G80,$H$79:$H$80)/SUM($H$79:$H$80)</f>
        <v>1.5978260869565217</v>
      </c>
      <c r="M79" s="1">
        <f>+SUMPRODUCT(I79:I80,$H$79:$H$80)/SUM($H$79:$H$80)</f>
        <v>60.347826086956523</v>
      </c>
      <c r="N79" s="1">
        <f t="shared" ref="N79:O79" si="23">+SUMPRODUCT(J79:J80,$H$79:$H$80)/SUM($H$79:$H$80)</f>
        <v>397331.80434782611</v>
      </c>
      <c r="O79" s="1">
        <f t="shared" si="23"/>
        <v>6617.032608695652</v>
      </c>
    </row>
    <row r="80" spans="1:15" x14ac:dyDescent="0.3">
      <c r="A80" t="s">
        <v>50</v>
      </c>
      <c r="B80" t="s">
        <v>51</v>
      </c>
      <c r="C80">
        <v>-77.014161053999999</v>
      </c>
      <c r="D80">
        <v>-12.088630566999999</v>
      </c>
      <c r="E80">
        <v>276</v>
      </c>
      <c r="F80">
        <v>31</v>
      </c>
      <c r="G80">
        <v>2</v>
      </c>
      <c r="H80">
        <v>165</v>
      </c>
      <c r="I80">
        <v>70</v>
      </c>
      <c r="J80" s="1">
        <v>454718</v>
      </c>
      <c r="K80" s="1">
        <v>6537</v>
      </c>
      <c r="L80" s="1"/>
    </row>
    <row r="81" spans="1:15" x14ac:dyDescent="0.3">
      <c r="A81" t="s">
        <v>50</v>
      </c>
      <c r="B81" t="s">
        <v>52</v>
      </c>
      <c r="C81">
        <v>-77.030243100000007</v>
      </c>
      <c r="D81">
        <v>-12.0729018</v>
      </c>
      <c r="E81">
        <v>152</v>
      </c>
      <c r="F81">
        <v>20</v>
      </c>
      <c r="G81">
        <v>1</v>
      </c>
      <c r="H81">
        <v>19</v>
      </c>
      <c r="I81">
        <v>34</v>
      </c>
      <c r="J81" s="1">
        <v>229495</v>
      </c>
      <c r="K81" s="1">
        <v>6728</v>
      </c>
      <c r="L81" s="3">
        <f>+SUMPRODUCT(G81:G82,$H$81:$H$82)/SUM($H$81:$H$82)</f>
        <v>1.875</v>
      </c>
      <c r="M81" s="1">
        <f>+SUMPRODUCT(I81:I82,$H$81:$H$82)/SUM($H$81:$H$82)</f>
        <v>60.25</v>
      </c>
      <c r="N81" s="1">
        <f t="shared" ref="N81:O81" si="24">+SUMPRODUCT(J81:J82,$H$81:$H$82)/SUM($H$81:$H$82)</f>
        <v>323224.125</v>
      </c>
      <c r="O81" s="1">
        <f t="shared" si="24"/>
        <v>5452.25</v>
      </c>
    </row>
    <row r="82" spans="1:15" x14ac:dyDescent="0.3">
      <c r="A82" t="s">
        <v>50</v>
      </c>
      <c r="B82" t="s">
        <v>52</v>
      </c>
      <c r="C82">
        <v>-77.030243100000007</v>
      </c>
      <c r="D82">
        <v>-12.0729018</v>
      </c>
      <c r="E82">
        <v>152</v>
      </c>
      <c r="F82">
        <v>20</v>
      </c>
      <c r="G82">
        <v>2</v>
      </c>
      <c r="H82">
        <v>133</v>
      </c>
      <c r="I82">
        <v>64</v>
      </c>
      <c r="J82" s="1">
        <v>336614</v>
      </c>
      <c r="K82" s="1">
        <v>5270</v>
      </c>
      <c r="L82" s="1"/>
    </row>
    <row r="83" spans="1:15" x14ac:dyDescent="0.3">
      <c r="A83" t="s">
        <v>50</v>
      </c>
      <c r="B83" t="s">
        <v>53</v>
      </c>
      <c r="C83">
        <v>-77.030067799999998</v>
      </c>
      <c r="D83">
        <v>-12.0726186</v>
      </c>
      <c r="E83">
        <v>168</v>
      </c>
      <c r="F83">
        <v>22</v>
      </c>
      <c r="G83">
        <v>1</v>
      </c>
      <c r="H83">
        <v>21</v>
      </c>
      <c r="I83">
        <v>34</v>
      </c>
      <c r="J83" s="1">
        <v>238938</v>
      </c>
      <c r="K83" s="1">
        <v>6999</v>
      </c>
      <c r="L83" s="3">
        <f>+SUMPRODUCT(G83:G84,$H$83:$H$84)/SUM($H$83:$H$84)</f>
        <v>1.875</v>
      </c>
      <c r="M83" s="1">
        <f>+SUMPRODUCT(I83:I84,$H$83:$H$84)/SUM($H$83:$H$84)</f>
        <v>60.25</v>
      </c>
      <c r="N83" s="1">
        <f t="shared" ref="N83:O83" si="25">+SUMPRODUCT(J83:J84,$H$83:$H$84)/SUM($H$83:$H$84)</f>
        <v>343281.75</v>
      </c>
      <c r="O83" s="1">
        <f t="shared" si="25"/>
        <v>5768.75</v>
      </c>
    </row>
    <row r="84" spans="1:15" x14ac:dyDescent="0.3">
      <c r="A84" t="s">
        <v>50</v>
      </c>
      <c r="B84" t="s">
        <v>53</v>
      </c>
      <c r="C84">
        <v>-77.030067799999998</v>
      </c>
      <c r="D84">
        <v>-12.0726186</v>
      </c>
      <c r="E84">
        <v>168</v>
      </c>
      <c r="F84">
        <v>22</v>
      </c>
      <c r="G84">
        <v>2</v>
      </c>
      <c r="H84">
        <v>147</v>
      </c>
      <c r="I84">
        <v>64</v>
      </c>
      <c r="J84" s="1">
        <v>358188</v>
      </c>
      <c r="K84" s="1">
        <v>5593</v>
      </c>
      <c r="L84" s="1"/>
    </row>
    <row r="85" spans="1:15" x14ac:dyDescent="0.3">
      <c r="A85" t="s">
        <v>54</v>
      </c>
      <c r="B85" t="s">
        <v>55</v>
      </c>
      <c r="C85">
        <v>-77.021956000000003</v>
      </c>
      <c r="D85">
        <v>-12.084074299999999</v>
      </c>
      <c r="E85">
        <v>76</v>
      </c>
      <c r="F85">
        <v>9</v>
      </c>
      <c r="G85">
        <v>1</v>
      </c>
      <c r="H85">
        <v>25</v>
      </c>
      <c r="I85">
        <v>34</v>
      </c>
      <c r="J85" s="1">
        <v>275190</v>
      </c>
      <c r="K85" s="1">
        <v>8164</v>
      </c>
      <c r="L85" s="3">
        <f>+SUMPRODUCT(G85:G87,$H$85:$H$87)/SUM($H$85:$H$87)</f>
        <v>2.1052631578947367</v>
      </c>
      <c r="M85" s="1">
        <f>+SUMPRODUCT(I85:I87,$H$85:$H$87)/SUM($H$85:$H$87)</f>
        <v>59.5</v>
      </c>
      <c r="N85" s="1">
        <f>+SUMPRODUCT(J85:J87,$H$85:$H$87)/SUM($H$85:$H$87)</f>
        <v>418457.17105263157</v>
      </c>
      <c r="O85" s="1">
        <f>+SUMPRODUCT(K85:K87,$H$85:$H$87)/SUM($H$85:$H$87)</f>
        <v>7305.7631578947367</v>
      </c>
    </row>
    <row r="86" spans="1:15" x14ac:dyDescent="0.3">
      <c r="A86" t="s">
        <v>54</v>
      </c>
      <c r="B86" t="s">
        <v>55</v>
      </c>
      <c r="C86">
        <v>-77.021956000000003</v>
      </c>
      <c r="D86">
        <v>-12.084074299999999</v>
      </c>
      <c r="E86">
        <v>76</v>
      </c>
      <c r="F86">
        <v>9</v>
      </c>
      <c r="G86">
        <v>2</v>
      </c>
      <c r="H86">
        <v>18</v>
      </c>
      <c r="I86">
        <v>61</v>
      </c>
      <c r="J86" s="1">
        <v>412396</v>
      </c>
      <c r="K86" s="1">
        <v>6810</v>
      </c>
      <c r="L86" s="1"/>
    </row>
    <row r="87" spans="1:15" x14ac:dyDescent="0.3">
      <c r="A87" t="s">
        <v>54</v>
      </c>
      <c r="B87" t="s">
        <v>55</v>
      </c>
      <c r="C87">
        <v>-77.021956000000003</v>
      </c>
      <c r="D87">
        <v>-12.084074299999999</v>
      </c>
      <c r="E87">
        <v>76</v>
      </c>
      <c r="F87">
        <v>9</v>
      </c>
      <c r="G87">
        <v>3</v>
      </c>
      <c r="H87">
        <v>33</v>
      </c>
      <c r="I87">
        <v>78</v>
      </c>
      <c r="J87" s="1">
        <v>530299</v>
      </c>
      <c r="K87" s="1">
        <v>6926</v>
      </c>
      <c r="L87" s="1"/>
    </row>
    <row r="88" spans="1:15" x14ac:dyDescent="0.3">
      <c r="A88" t="s">
        <v>56</v>
      </c>
      <c r="B88" t="s">
        <v>57</v>
      </c>
      <c r="C88">
        <v>-77.020928032</v>
      </c>
      <c r="D88">
        <v>-12.085052094</v>
      </c>
      <c r="E88">
        <v>108</v>
      </c>
      <c r="F88">
        <v>22</v>
      </c>
      <c r="G88">
        <v>1</v>
      </c>
      <c r="H88">
        <v>20</v>
      </c>
      <c r="I88">
        <v>58</v>
      </c>
      <c r="J88" s="1">
        <v>316661</v>
      </c>
      <c r="K88" s="1">
        <v>5675</v>
      </c>
      <c r="L88" s="3">
        <f>+SUMPRODUCT(G88:G90,$H$88:$H$90)/SUM($H$88:$H$90)</f>
        <v>2.3425925925925926</v>
      </c>
      <c r="M88" s="1">
        <f>+SUMPRODUCT(I88:I90,$H$88:$H$90)/SUM($H$88:$H$90)</f>
        <v>67.833333333333329</v>
      </c>
      <c r="N88" s="1">
        <f t="shared" ref="N88:O88" si="26">+SUMPRODUCT(J88:J90,$H$88:$H$90)/SUM($H$88:$H$90)</f>
        <v>364611.15740740742</v>
      </c>
      <c r="O88" s="1">
        <f t="shared" si="26"/>
        <v>5427.9907407407409</v>
      </c>
    </row>
    <row r="89" spans="1:15" x14ac:dyDescent="0.3">
      <c r="A89" t="s">
        <v>56</v>
      </c>
      <c r="B89" t="s">
        <v>57</v>
      </c>
      <c r="C89">
        <v>-77.020928032</v>
      </c>
      <c r="D89">
        <v>-12.085052094</v>
      </c>
      <c r="E89">
        <v>108</v>
      </c>
      <c r="F89">
        <v>22</v>
      </c>
      <c r="G89">
        <v>2</v>
      </c>
      <c r="H89">
        <v>31</v>
      </c>
      <c r="I89">
        <v>61</v>
      </c>
      <c r="J89" s="1">
        <v>328162</v>
      </c>
      <c r="K89" s="1">
        <v>5401</v>
      </c>
      <c r="L89" s="1"/>
    </row>
    <row r="90" spans="1:15" x14ac:dyDescent="0.3">
      <c r="A90" t="s">
        <v>56</v>
      </c>
      <c r="B90" t="s">
        <v>57</v>
      </c>
      <c r="C90">
        <v>-77.020928032</v>
      </c>
      <c r="D90">
        <v>-12.085052094</v>
      </c>
      <c r="E90">
        <v>108</v>
      </c>
      <c r="F90">
        <v>22</v>
      </c>
      <c r="G90">
        <v>3</v>
      </c>
      <c r="H90">
        <v>57</v>
      </c>
      <c r="I90">
        <v>75</v>
      </c>
      <c r="J90" s="1">
        <v>401259</v>
      </c>
      <c r="K90" s="1">
        <v>5356</v>
      </c>
      <c r="L90" s="1"/>
    </row>
    <row r="91" spans="1:15" x14ac:dyDescent="0.3">
      <c r="A91" t="s">
        <v>56</v>
      </c>
      <c r="B91" t="s">
        <v>58</v>
      </c>
      <c r="C91">
        <v>-77.016934800000001</v>
      </c>
      <c r="D91">
        <v>-12.083575700000001</v>
      </c>
      <c r="E91">
        <v>42</v>
      </c>
      <c r="F91">
        <v>11</v>
      </c>
      <c r="G91">
        <v>2</v>
      </c>
      <c r="H91">
        <v>10</v>
      </c>
      <c r="I91">
        <v>61</v>
      </c>
      <c r="J91" s="1">
        <v>391546</v>
      </c>
      <c r="K91" s="1">
        <v>6515</v>
      </c>
      <c r="L91" s="3">
        <f>+SUMPRODUCT(G91:G92,$H$91:$H$92)/SUM($H$91:$H$92)</f>
        <v>2.7619047619047619</v>
      </c>
      <c r="M91" s="1">
        <f>+SUMPRODUCT(I91:I92,$H$91:$H$92)/SUM($H$91:$H$92)</f>
        <v>77</v>
      </c>
      <c r="N91" s="1">
        <f t="shared" ref="N91:O91" si="27">+SUMPRODUCT(J91:J92,$H$91:$H$92)/SUM($H$91:$H$92)</f>
        <v>504875.52380952379</v>
      </c>
      <c r="O91" s="1">
        <f t="shared" si="27"/>
        <v>6664.333333333333</v>
      </c>
    </row>
    <row r="92" spans="1:15" x14ac:dyDescent="0.3">
      <c r="A92" t="s">
        <v>56</v>
      </c>
      <c r="B92" t="s">
        <v>58</v>
      </c>
      <c r="C92">
        <v>-77.016934800000001</v>
      </c>
      <c r="D92">
        <v>-12.083575700000001</v>
      </c>
      <c r="E92">
        <v>42</v>
      </c>
      <c r="F92">
        <v>11</v>
      </c>
      <c r="G92">
        <v>3</v>
      </c>
      <c r="H92">
        <v>32</v>
      </c>
      <c r="I92">
        <v>82</v>
      </c>
      <c r="J92" s="1">
        <v>540291</v>
      </c>
      <c r="K92" s="1">
        <v>6711</v>
      </c>
      <c r="L92" s="1"/>
    </row>
    <row r="93" spans="1:15" x14ac:dyDescent="0.3">
      <c r="A93" t="s">
        <v>59</v>
      </c>
      <c r="B93" t="s">
        <v>60</v>
      </c>
      <c r="C93">
        <v>-77.014083980999999</v>
      </c>
      <c r="D93">
        <v>-12.088172926</v>
      </c>
      <c r="E93">
        <v>120</v>
      </c>
      <c r="F93">
        <v>16</v>
      </c>
      <c r="G93">
        <v>1</v>
      </c>
      <c r="H93">
        <v>27</v>
      </c>
      <c r="I93">
        <v>41</v>
      </c>
      <c r="J93" s="1">
        <v>281774</v>
      </c>
      <c r="K93" s="1">
        <v>6933</v>
      </c>
      <c r="L93" s="3">
        <f>+SUMPRODUCT(G93:G95,$H$93:$H$95)/SUM($H$93:$H$95)</f>
        <v>2.0499999999999998</v>
      </c>
      <c r="M93" s="1">
        <f>+SUMPRODUCT(I93:I95,$H$93:$H$95)/SUM($H$93:$H$95)</f>
        <v>51.825000000000003</v>
      </c>
      <c r="N93" s="1">
        <f t="shared" ref="N93:O93" si="28">+SUMPRODUCT(J93:J95,$H$93:$H$95)/SUM($H$93:$H$95)</f>
        <v>348652.85</v>
      </c>
      <c r="O93" s="1">
        <f t="shared" si="28"/>
        <v>6839.35</v>
      </c>
    </row>
    <row r="94" spans="1:15" x14ac:dyDescent="0.3">
      <c r="A94" t="s">
        <v>59</v>
      </c>
      <c r="B94" t="s">
        <v>60</v>
      </c>
      <c r="C94">
        <v>-77.014083980999999</v>
      </c>
      <c r="D94">
        <v>-12.088172926</v>
      </c>
      <c r="E94">
        <v>120</v>
      </c>
      <c r="F94">
        <v>16</v>
      </c>
      <c r="G94">
        <v>2</v>
      </c>
      <c r="H94">
        <v>60</v>
      </c>
      <c r="I94">
        <v>50</v>
      </c>
      <c r="J94" s="1">
        <v>341703</v>
      </c>
      <c r="K94" s="1">
        <v>6892</v>
      </c>
    </row>
    <row r="95" spans="1:15" x14ac:dyDescent="0.3">
      <c r="A95" t="s">
        <v>59</v>
      </c>
      <c r="B95" t="s">
        <v>60</v>
      </c>
      <c r="C95">
        <v>-77.014083980999999</v>
      </c>
      <c r="D95">
        <v>-12.088172926</v>
      </c>
      <c r="E95">
        <v>120</v>
      </c>
      <c r="F95">
        <v>16</v>
      </c>
      <c r="G95">
        <v>3</v>
      </c>
      <c r="H95">
        <v>33</v>
      </c>
      <c r="I95">
        <v>64</v>
      </c>
      <c r="J95" s="1">
        <v>416008</v>
      </c>
      <c r="K95" s="1">
        <v>6667</v>
      </c>
      <c r="L95" s="1"/>
    </row>
    <row r="96" spans="1:15" x14ac:dyDescent="0.3">
      <c r="A96" t="s">
        <v>61</v>
      </c>
      <c r="B96" t="s">
        <v>62</v>
      </c>
      <c r="C96">
        <v>-77.015621499999995</v>
      </c>
      <c r="D96">
        <v>-12.0853264</v>
      </c>
      <c r="E96">
        <v>127</v>
      </c>
      <c r="F96">
        <v>22</v>
      </c>
      <c r="G96">
        <v>2</v>
      </c>
      <c r="H96">
        <v>45</v>
      </c>
      <c r="I96">
        <v>54</v>
      </c>
      <c r="J96" s="1">
        <v>382100</v>
      </c>
      <c r="K96" s="1">
        <v>7033</v>
      </c>
      <c r="L96" s="3">
        <f>+SUMPRODUCT(G96:G97,$H$96:$H$97)/SUM($H$96:$H$97)</f>
        <v>2.6456692913385829</v>
      </c>
      <c r="M96" s="1">
        <f>+SUMPRODUCT(I96:I97,$H$96:$H$97)/SUM($H$96:$H$97)</f>
        <v>61.748031496062993</v>
      </c>
      <c r="N96" s="1">
        <f>+SUMPRODUCT(J96:J97,$H$96:$H$97)/SUM($H$96:$H$97)</f>
        <v>425187.44881889765</v>
      </c>
      <c r="O96" s="1">
        <f>+SUMPRODUCT(K96:K97,$H$96:$H$97)/SUM($H$96:$H$97)</f>
        <v>6872.8740157480315</v>
      </c>
    </row>
    <row r="97" spans="1:15" x14ac:dyDescent="0.3">
      <c r="A97" t="s">
        <v>61</v>
      </c>
      <c r="B97" t="s">
        <v>62</v>
      </c>
      <c r="C97">
        <v>-77.015621499999995</v>
      </c>
      <c r="D97">
        <v>-12.0853264</v>
      </c>
      <c r="E97">
        <v>127</v>
      </c>
      <c r="F97">
        <v>22</v>
      </c>
      <c r="G97">
        <v>3</v>
      </c>
      <c r="H97">
        <v>82</v>
      </c>
      <c r="I97">
        <v>66</v>
      </c>
      <c r="J97" s="1">
        <v>448833</v>
      </c>
      <c r="K97" s="1">
        <v>6785</v>
      </c>
      <c r="L97" s="1"/>
    </row>
    <row r="98" spans="1:15" x14ac:dyDescent="0.3">
      <c r="A98" t="s">
        <v>63</v>
      </c>
      <c r="B98" t="s">
        <v>64</v>
      </c>
      <c r="C98">
        <v>-77.018472494999997</v>
      </c>
      <c r="D98">
        <v>-12.089498978</v>
      </c>
      <c r="E98">
        <v>203</v>
      </c>
      <c r="F98">
        <v>30</v>
      </c>
      <c r="G98">
        <v>1</v>
      </c>
      <c r="H98">
        <v>87</v>
      </c>
      <c r="I98">
        <v>47</v>
      </c>
      <c r="J98" s="1">
        <v>296814</v>
      </c>
      <c r="K98" s="1">
        <v>6308</v>
      </c>
      <c r="L98" s="3">
        <f>+SUMPRODUCT(G98:G100,$H$98:$H$100)/SUM($H$98:$H$100)</f>
        <v>1.8571428571428572</v>
      </c>
      <c r="M98" s="1">
        <f>+SUMPRODUCT(I98:I100,$H$98:$H$100)/SUM($H$98:$H$100)</f>
        <v>62.428571428571431</v>
      </c>
      <c r="N98" s="1">
        <f t="shared" ref="N98:O98" si="29">+SUMPRODUCT(J98:J100,$H$98:$H$100)/SUM($H$98:$H$100)</f>
        <v>384960.28571428574</v>
      </c>
      <c r="O98" s="1">
        <f t="shared" si="29"/>
        <v>6202.5714285714284</v>
      </c>
    </row>
    <row r="99" spans="1:15" x14ac:dyDescent="0.3">
      <c r="A99" t="s">
        <v>63</v>
      </c>
      <c r="B99" t="s">
        <v>64</v>
      </c>
      <c r="C99">
        <v>-77.018472494999997</v>
      </c>
      <c r="D99">
        <v>-12.089498978</v>
      </c>
      <c r="E99">
        <v>203</v>
      </c>
      <c r="F99">
        <v>30</v>
      </c>
      <c r="G99">
        <v>2</v>
      </c>
      <c r="H99">
        <v>58</v>
      </c>
      <c r="I99">
        <v>66</v>
      </c>
      <c r="J99" s="1">
        <v>410209</v>
      </c>
      <c r="K99" s="1">
        <v>6240</v>
      </c>
      <c r="L99" s="1"/>
    </row>
    <row r="100" spans="1:15" x14ac:dyDescent="0.3">
      <c r="A100" t="s">
        <v>63</v>
      </c>
      <c r="B100" t="s">
        <v>64</v>
      </c>
      <c r="C100">
        <v>-77.018472494999997</v>
      </c>
      <c r="D100">
        <v>-12.089498978</v>
      </c>
      <c r="E100">
        <v>203</v>
      </c>
      <c r="F100">
        <v>30</v>
      </c>
      <c r="G100">
        <v>3</v>
      </c>
      <c r="H100">
        <v>58</v>
      </c>
      <c r="I100">
        <v>82</v>
      </c>
      <c r="J100" s="1">
        <v>491931</v>
      </c>
      <c r="K100" s="1">
        <v>6007</v>
      </c>
      <c r="L100" s="1"/>
    </row>
    <row r="101" spans="1:15" x14ac:dyDescent="0.3">
      <c r="A101" t="s">
        <v>65</v>
      </c>
      <c r="B101" t="s">
        <v>66</v>
      </c>
      <c r="C101">
        <v>-77.010973531000005</v>
      </c>
      <c r="D101">
        <v>-12.088649467</v>
      </c>
      <c r="E101">
        <v>342</v>
      </c>
      <c r="F101">
        <v>36</v>
      </c>
      <c r="G101">
        <v>1</v>
      </c>
      <c r="H101">
        <v>172</v>
      </c>
      <c r="I101">
        <v>39</v>
      </c>
      <c r="J101" s="1">
        <v>291240</v>
      </c>
      <c r="K101" s="1">
        <v>7769</v>
      </c>
      <c r="L101" s="3">
        <f>+SUMPRODUCT(G101:G103,$H$101:$H$103)/SUM($H$101:$H$103)</f>
        <v>1.6929824561403508</v>
      </c>
      <c r="M101" s="1">
        <f>+SUMPRODUCT(I101:I103,$H$101:$H$103)/SUM($H$101:$H$103)</f>
        <v>53.356725146198833</v>
      </c>
      <c r="N101" s="1">
        <f t="shared" ref="N101:O101" si="30">+SUMPRODUCT(J101:J103,$H$101:$H$103)/SUM($H$101:$H$103)</f>
        <v>388353.51461988303</v>
      </c>
      <c r="O101" s="1">
        <f t="shared" si="30"/>
        <v>7558.2163742690054</v>
      </c>
    </row>
    <row r="102" spans="1:15" x14ac:dyDescent="0.3">
      <c r="A102" t="s">
        <v>65</v>
      </c>
      <c r="B102" t="s">
        <v>66</v>
      </c>
      <c r="C102">
        <v>-77.010973531000005</v>
      </c>
      <c r="D102">
        <v>-12.088649467</v>
      </c>
      <c r="E102">
        <v>342</v>
      </c>
      <c r="F102">
        <v>36</v>
      </c>
      <c r="G102">
        <v>2</v>
      </c>
      <c r="H102">
        <v>103</v>
      </c>
      <c r="I102">
        <v>60</v>
      </c>
      <c r="J102" s="1">
        <v>424979</v>
      </c>
      <c r="K102" s="1">
        <v>7248</v>
      </c>
      <c r="L102" s="1"/>
    </row>
    <row r="103" spans="1:15" x14ac:dyDescent="0.3">
      <c r="A103" t="s">
        <v>65</v>
      </c>
      <c r="B103" t="s">
        <v>66</v>
      </c>
      <c r="C103">
        <v>-77.010973531000005</v>
      </c>
      <c r="D103">
        <v>-12.088649467</v>
      </c>
      <c r="E103">
        <v>342</v>
      </c>
      <c r="F103">
        <v>36</v>
      </c>
      <c r="G103">
        <v>3</v>
      </c>
      <c r="H103">
        <v>67</v>
      </c>
      <c r="I103">
        <v>80</v>
      </c>
      <c r="J103" s="1">
        <v>581355</v>
      </c>
      <c r="K103" s="1">
        <v>7494</v>
      </c>
      <c r="L103" s="1"/>
    </row>
    <row r="104" spans="1:15" x14ac:dyDescent="0.3">
      <c r="A104" t="s">
        <v>65</v>
      </c>
      <c r="B104" t="s">
        <v>67</v>
      </c>
      <c r="C104">
        <v>-77.025290037999994</v>
      </c>
      <c r="D104">
        <v>-12.084345235000001</v>
      </c>
      <c r="E104">
        <v>381</v>
      </c>
      <c r="F104">
        <v>37</v>
      </c>
      <c r="G104">
        <v>1</v>
      </c>
      <c r="H104">
        <v>136</v>
      </c>
      <c r="I104">
        <v>38</v>
      </c>
      <c r="J104" s="1">
        <v>242655</v>
      </c>
      <c r="K104" s="1">
        <v>6368</v>
      </c>
      <c r="L104" s="3">
        <f>+SUMPRODUCT(G104:G106,$H$104:$H$106)/SUM($H$104:$H$106)</f>
        <v>1.916010498687664</v>
      </c>
      <c r="M104" s="1">
        <f>+SUMPRODUCT(I104:I106,$H$104:$H$106)/SUM($H$104:$H$106)</f>
        <v>55.325459317585299</v>
      </c>
      <c r="N104" s="1">
        <f t="shared" ref="N104:O104" si="31">+SUMPRODUCT(J104:J106,$H$104:$H$106)/SUM($H$104:$H$106)</f>
        <v>342348.11286089238</v>
      </c>
      <c r="O104" s="1">
        <f t="shared" si="31"/>
        <v>6238.7217847769025</v>
      </c>
    </row>
    <row r="105" spans="1:15" x14ac:dyDescent="0.3">
      <c r="A105" t="s">
        <v>65</v>
      </c>
      <c r="B105" t="s">
        <v>67</v>
      </c>
      <c r="C105">
        <v>-77.025290037999994</v>
      </c>
      <c r="D105">
        <v>-12.084345235000001</v>
      </c>
      <c r="E105">
        <v>381</v>
      </c>
      <c r="F105">
        <v>37</v>
      </c>
      <c r="G105">
        <v>2</v>
      </c>
      <c r="H105">
        <v>141</v>
      </c>
      <c r="I105">
        <v>59</v>
      </c>
      <c r="J105" s="1">
        <v>365459</v>
      </c>
      <c r="K105" s="1">
        <v>6237</v>
      </c>
      <c r="L105" s="1"/>
    </row>
    <row r="106" spans="1:15" x14ac:dyDescent="0.3">
      <c r="A106" t="s">
        <v>65</v>
      </c>
      <c r="B106" t="s">
        <v>67</v>
      </c>
      <c r="C106">
        <v>-77.025290037999994</v>
      </c>
      <c r="D106">
        <v>-12.084345235000001</v>
      </c>
      <c r="E106">
        <v>381</v>
      </c>
      <c r="F106">
        <v>37</v>
      </c>
      <c r="G106">
        <v>3</v>
      </c>
      <c r="H106">
        <v>104</v>
      </c>
      <c r="I106">
        <v>73</v>
      </c>
      <c r="J106" s="1">
        <v>441383</v>
      </c>
      <c r="K106" s="1">
        <v>6072</v>
      </c>
      <c r="L106" s="1"/>
    </row>
    <row r="107" spans="1:15" x14ac:dyDescent="0.3">
      <c r="A107" t="s">
        <v>68</v>
      </c>
      <c r="B107" t="s">
        <v>69</v>
      </c>
      <c r="C107">
        <v>-77.010324999999995</v>
      </c>
      <c r="D107">
        <v>-12.0863505</v>
      </c>
      <c r="E107">
        <v>34</v>
      </c>
      <c r="F107">
        <v>10</v>
      </c>
      <c r="G107">
        <v>1</v>
      </c>
      <c r="H107">
        <v>10</v>
      </c>
      <c r="I107">
        <v>46</v>
      </c>
      <c r="J107" s="1">
        <v>372759</v>
      </c>
      <c r="K107" s="1">
        <v>8338</v>
      </c>
      <c r="L107" s="3">
        <f>+SUMPRODUCT(G107:G109,$H$107:$H$109)/SUM($H$107:$H$109)</f>
        <v>1.9705882352941178</v>
      </c>
      <c r="M107" s="1">
        <f>+SUMPRODUCT(I107:I109,$H$107:$H$109)/SUM($H$107:$H$109)</f>
        <v>56.852941176470587</v>
      </c>
      <c r="N107" s="1">
        <f t="shared" ref="N107:O107" si="32">+SUMPRODUCT(J107:J109,$H$107:$H$109)/SUM($H$107:$H$109)</f>
        <v>423218.82352941175</v>
      </c>
      <c r="O107" s="1">
        <f t="shared" si="32"/>
        <v>7660.2647058823532</v>
      </c>
    </row>
    <row r="108" spans="1:15" x14ac:dyDescent="0.3">
      <c r="A108" t="s">
        <v>68</v>
      </c>
      <c r="B108" t="s">
        <v>69</v>
      </c>
      <c r="C108">
        <v>-77.010324999999995</v>
      </c>
      <c r="D108">
        <v>-12.0863505</v>
      </c>
      <c r="E108">
        <v>34</v>
      </c>
      <c r="F108">
        <v>10</v>
      </c>
      <c r="G108">
        <v>2</v>
      </c>
      <c r="H108">
        <v>15</v>
      </c>
      <c r="I108">
        <v>55</v>
      </c>
      <c r="J108" s="1">
        <v>399231</v>
      </c>
      <c r="K108" s="1">
        <v>7388</v>
      </c>
      <c r="L108" s="1"/>
    </row>
    <row r="109" spans="1:15" x14ac:dyDescent="0.3">
      <c r="A109" t="s">
        <v>68</v>
      </c>
      <c r="B109" t="s">
        <v>69</v>
      </c>
      <c r="C109">
        <v>-77.010324999999995</v>
      </c>
      <c r="D109">
        <v>-12.0863505</v>
      </c>
      <c r="E109">
        <v>34</v>
      </c>
      <c r="F109">
        <v>10</v>
      </c>
      <c r="G109">
        <v>3</v>
      </c>
      <c r="H109">
        <v>9</v>
      </c>
      <c r="I109">
        <v>72</v>
      </c>
      <c r="J109" s="1">
        <v>519265</v>
      </c>
      <c r="K109" s="1">
        <v>7361</v>
      </c>
      <c r="L109" s="1"/>
    </row>
    <row r="110" spans="1:15" x14ac:dyDescent="0.3">
      <c r="A110" t="s">
        <v>70</v>
      </c>
      <c r="B110" t="s">
        <v>71</v>
      </c>
      <c r="C110">
        <v>-77.014846199999994</v>
      </c>
      <c r="D110">
        <v>-12.0827586</v>
      </c>
      <c r="E110">
        <v>95</v>
      </c>
      <c r="F110">
        <v>20</v>
      </c>
      <c r="G110">
        <v>2</v>
      </c>
      <c r="H110">
        <v>76</v>
      </c>
      <c r="I110">
        <v>61</v>
      </c>
      <c r="J110" s="1">
        <v>397367</v>
      </c>
      <c r="K110" s="1">
        <v>6716</v>
      </c>
      <c r="L110" s="3">
        <f>+SUMPRODUCT(G110:G111,$H$110:$H$111)/SUM($H$110:$H$111)</f>
        <v>2.2000000000000002</v>
      </c>
      <c r="M110" s="1">
        <f>+SUMPRODUCT(I110:I111,$H$110:$H$111)/SUM($H$110:$H$111)</f>
        <v>63.6</v>
      </c>
      <c r="N110" s="1">
        <f t="shared" ref="N110:O110" si="33">+SUMPRODUCT(J110:J111,$H$110:$H$111)/SUM($H$110:$H$111)</f>
        <v>407592</v>
      </c>
      <c r="O110" s="1">
        <f t="shared" si="33"/>
        <v>6607.4</v>
      </c>
    </row>
    <row r="111" spans="1:15" x14ac:dyDescent="0.3">
      <c r="A111" t="s">
        <v>70</v>
      </c>
      <c r="B111" t="s">
        <v>71</v>
      </c>
      <c r="C111">
        <v>-77.014846199999994</v>
      </c>
      <c r="D111">
        <v>-12.0827586</v>
      </c>
      <c r="E111">
        <v>95</v>
      </c>
      <c r="F111">
        <v>20</v>
      </c>
      <c r="G111">
        <v>3</v>
      </c>
      <c r="H111">
        <v>19</v>
      </c>
      <c r="I111">
        <v>74</v>
      </c>
      <c r="J111" s="1">
        <v>448492</v>
      </c>
      <c r="K111" s="1">
        <v>6173</v>
      </c>
      <c r="L111" s="1"/>
    </row>
    <row r="112" spans="1:15" x14ac:dyDescent="0.3">
      <c r="A112" t="s">
        <v>70</v>
      </c>
      <c r="B112" t="s">
        <v>72</v>
      </c>
      <c r="C112">
        <v>-77.025741449999998</v>
      </c>
      <c r="D112">
        <v>-12.083340818</v>
      </c>
      <c r="E112">
        <v>216</v>
      </c>
      <c r="F112">
        <v>38</v>
      </c>
      <c r="G112">
        <v>1</v>
      </c>
      <c r="H112">
        <v>72</v>
      </c>
      <c r="I112">
        <v>41</v>
      </c>
      <c r="J112" s="1">
        <v>276789</v>
      </c>
      <c r="K112" s="1">
        <v>6721</v>
      </c>
      <c r="L112" s="3">
        <f>+SUMPRODUCT(G112:G114,$H$112:$H$114)/SUM($H$112:$H$114)</f>
        <v>2</v>
      </c>
      <c r="M112" s="1">
        <f>+SUMPRODUCT(I112:I114,$H$112:$H$114)/SUM($H$112:$H$114)</f>
        <v>60.666666666666664</v>
      </c>
      <c r="N112" s="1">
        <f t="shared" ref="N112:O112" si="34">+SUMPRODUCT(J112:J114,$H$112:$H$114)/SUM($H$112:$H$114)</f>
        <v>380755.66666666669</v>
      </c>
      <c r="O112" s="1">
        <f t="shared" si="34"/>
        <v>6345.333333333333</v>
      </c>
    </row>
    <row r="113" spans="1:15" x14ac:dyDescent="0.3">
      <c r="A113" t="s">
        <v>70</v>
      </c>
      <c r="B113" t="s">
        <v>72</v>
      </c>
      <c r="C113">
        <v>-77.025741449999998</v>
      </c>
      <c r="D113">
        <v>-12.083340818</v>
      </c>
      <c r="E113">
        <v>216</v>
      </c>
      <c r="F113">
        <v>38</v>
      </c>
      <c r="G113">
        <v>2</v>
      </c>
      <c r="H113">
        <v>72</v>
      </c>
      <c r="I113">
        <v>60</v>
      </c>
      <c r="J113" s="1">
        <v>371412</v>
      </c>
      <c r="K113" s="1">
        <v>6212</v>
      </c>
      <c r="L113" s="1"/>
    </row>
    <row r="114" spans="1:15" x14ac:dyDescent="0.3">
      <c r="A114" t="s">
        <v>70</v>
      </c>
      <c r="B114" t="s">
        <v>72</v>
      </c>
      <c r="C114">
        <v>-77.025741449999998</v>
      </c>
      <c r="D114">
        <v>-12.083340818</v>
      </c>
      <c r="E114">
        <v>216</v>
      </c>
      <c r="F114">
        <v>38</v>
      </c>
      <c r="G114">
        <v>3</v>
      </c>
      <c r="H114">
        <v>72</v>
      </c>
      <c r="I114">
        <v>81</v>
      </c>
      <c r="J114" s="1">
        <v>494066</v>
      </c>
      <c r="K114" s="1">
        <v>6103</v>
      </c>
      <c r="L114" s="1"/>
    </row>
    <row r="115" spans="1:15" x14ac:dyDescent="0.3">
      <c r="A115" t="s">
        <v>70</v>
      </c>
      <c r="B115" t="s">
        <v>73</v>
      </c>
      <c r="C115">
        <v>-77.025798199999997</v>
      </c>
      <c r="D115">
        <v>-12.083499099999999</v>
      </c>
      <c r="E115">
        <v>180</v>
      </c>
      <c r="F115">
        <v>37</v>
      </c>
      <c r="G115">
        <v>1</v>
      </c>
      <c r="H115">
        <v>36</v>
      </c>
      <c r="I115">
        <v>45</v>
      </c>
      <c r="J115" s="1">
        <v>342483</v>
      </c>
      <c r="K115" s="1">
        <v>7679</v>
      </c>
      <c r="L115" s="3">
        <f>+SUMPRODUCT(G115:G116,$H$115:$H$116)/SUM($H$115:$H$116)</f>
        <v>1.8</v>
      </c>
      <c r="M115" s="1">
        <f>+SUMPRODUCT(I115:I116,$H$115:$H$116)/SUM($H$115:$H$116)</f>
        <v>62.6</v>
      </c>
      <c r="N115" s="1">
        <f t="shared" ref="N115:O115" si="35">+SUMPRODUCT(J115:J116,$H$115:$H$116)/SUM($H$115:$H$116)</f>
        <v>452786.2</v>
      </c>
      <c r="O115" s="1">
        <f t="shared" si="35"/>
        <v>7290.2</v>
      </c>
    </row>
    <row r="116" spans="1:15" x14ac:dyDescent="0.3">
      <c r="A116" t="s">
        <v>70</v>
      </c>
      <c r="B116" t="s">
        <v>73</v>
      </c>
      <c r="C116">
        <v>-77.025798199999997</v>
      </c>
      <c r="D116">
        <v>-12.083499099999999</v>
      </c>
      <c r="E116">
        <v>180</v>
      </c>
      <c r="F116">
        <v>37</v>
      </c>
      <c r="G116">
        <v>2</v>
      </c>
      <c r="H116">
        <v>144</v>
      </c>
      <c r="I116">
        <v>67</v>
      </c>
      <c r="J116" s="1">
        <v>480362</v>
      </c>
      <c r="K116" s="1">
        <v>7193</v>
      </c>
      <c r="L116" s="1"/>
    </row>
    <row r="117" spans="1:15" x14ac:dyDescent="0.3">
      <c r="A117" t="s">
        <v>74</v>
      </c>
      <c r="B117" t="s">
        <v>75</v>
      </c>
      <c r="C117">
        <v>-77.021496499999998</v>
      </c>
      <c r="D117">
        <v>-12.089094599999999</v>
      </c>
      <c r="E117">
        <v>524</v>
      </c>
      <c r="F117">
        <v>17</v>
      </c>
      <c r="G117">
        <v>1</v>
      </c>
      <c r="H117">
        <v>115</v>
      </c>
      <c r="I117">
        <v>41</v>
      </c>
      <c r="J117" s="1">
        <v>312754</v>
      </c>
      <c r="K117" s="1">
        <v>7705</v>
      </c>
      <c r="L117" s="3">
        <f>+SUMPRODUCT(G117:G119,$H$117:$H$119)/SUM($H$117:$H$119)</f>
        <v>2.0496183206106871</v>
      </c>
      <c r="M117" s="1">
        <f>+SUMPRODUCT(I117:I119,$H$117:$H$119)/SUM($H$117:$H$119)</f>
        <v>58.305343511450381</v>
      </c>
      <c r="N117" s="1">
        <f t="shared" ref="N117:O117" si="36">+SUMPRODUCT(J117:J119,$H$117:$H$119)/SUM($H$117:$H$119)</f>
        <v>428293.91030534351</v>
      </c>
      <c r="O117" s="1">
        <f t="shared" si="36"/>
        <v>7409.5744274809158</v>
      </c>
    </row>
    <row r="118" spans="1:15" x14ac:dyDescent="0.3">
      <c r="A118" t="s">
        <v>74</v>
      </c>
      <c r="B118" t="s">
        <v>75</v>
      </c>
      <c r="C118">
        <v>-77.021496499999998</v>
      </c>
      <c r="D118">
        <v>-12.089094599999999</v>
      </c>
      <c r="E118">
        <v>524</v>
      </c>
      <c r="F118">
        <v>17</v>
      </c>
      <c r="G118">
        <v>2</v>
      </c>
      <c r="H118">
        <v>268</v>
      </c>
      <c r="I118">
        <v>58</v>
      </c>
      <c r="J118" s="1">
        <v>419155</v>
      </c>
      <c r="K118" s="1">
        <v>7291</v>
      </c>
      <c r="L118" s="1"/>
    </row>
    <row r="119" spans="1:15" x14ac:dyDescent="0.3">
      <c r="A119" t="s">
        <v>74</v>
      </c>
      <c r="B119" t="s">
        <v>75</v>
      </c>
      <c r="C119">
        <v>-77.021496499999998</v>
      </c>
      <c r="D119">
        <v>-12.089094599999999</v>
      </c>
      <c r="E119">
        <v>524</v>
      </c>
      <c r="F119">
        <v>17</v>
      </c>
      <c r="G119">
        <v>3</v>
      </c>
      <c r="H119">
        <v>141</v>
      </c>
      <c r="I119">
        <v>73</v>
      </c>
      <c r="J119" s="1">
        <v>539899</v>
      </c>
      <c r="K119" s="1">
        <v>7394</v>
      </c>
      <c r="L119" s="1"/>
    </row>
    <row r="120" spans="1:15" x14ac:dyDescent="0.3">
      <c r="A120" t="s">
        <v>74</v>
      </c>
      <c r="B120" t="s">
        <v>76</v>
      </c>
      <c r="C120">
        <v>-77.0107924</v>
      </c>
      <c r="D120">
        <v>-12.0848999</v>
      </c>
      <c r="E120">
        <v>58</v>
      </c>
      <c r="F120">
        <v>20</v>
      </c>
      <c r="G120">
        <v>1</v>
      </c>
      <c r="H120">
        <v>9</v>
      </c>
      <c r="I120">
        <v>32</v>
      </c>
      <c r="J120" s="1">
        <v>214032</v>
      </c>
      <c r="K120" s="1">
        <v>6795</v>
      </c>
      <c r="L120" s="3">
        <f>+SUMPRODUCT(G120:G122,$H$120:$H$122)/SUM($H$120:$H$122)</f>
        <v>2.1428571428571428</v>
      </c>
      <c r="M120" s="1">
        <f>+SUMPRODUCT(I120:I122,$H$120:$H$122)/SUM($H$120:$H$122)</f>
        <v>56.4</v>
      </c>
      <c r="N120" s="1">
        <f t="shared" ref="N120:O120" si="37">+SUMPRODUCT(J120:J122,$H$120:$H$122)/SUM($H$120:$H$122)</f>
        <v>319959.3142857143</v>
      </c>
      <c r="O120" s="1">
        <f t="shared" si="37"/>
        <v>5875.4571428571426</v>
      </c>
    </row>
    <row r="121" spans="1:15" x14ac:dyDescent="0.3">
      <c r="A121" t="s">
        <v>74</v>
      </c>
      <c r="B121" t="s">
        <v>76</v>
      </c>
      <c r="C121">
        <v>-77.0107924</v>
      </c>
      <c r="D121">
        <v>-12.0848999</v>
      </c>
      <c r="E121">
        <v>58</v>
      </c>
      <c r="F121">
        <v>20</v>
      </c>
      <c r="G121">
        <v>2</v>
      </c>
      <c r="H121">
        <v>12</v>
      </c>
      <c r="I121">
        <v>60</v>
      </c>
      <c r="J121" s="1">
        <v>335200</v>
      </c>
      <c r="K121" s="1">
        <v>5618</v>
      </c>
      <c r="L121" s="1"/>
    </row>
    <row r="122" spans="1:15" x14ac:dyDescent="0.3">
      <c r="A122" t="s">
        <v>74</v>
      </c>
      <c r="B122" t="s">
        <v>76</v>
      </c>
      <c r="C122">
        <v>-77.0107924</v>
      </c>
      <c r="D122">
        <v>-12.0848999</v>
      </c>
      <c r="E122">
        <v>58</v>
      </c>
      <c r="F122">
        <v>20</v>
      </c>
      <c r="G122">
        <v>3</v>
      </c>
      <c r="H122">
        <v>14</v>
      </c>
      <c r="I122">
        <v>69</v>
      </c>
      <c r="J122" s="1">
        <v>374992</v>
      </c>
      <c r="K122" s="1">
        <v>5505</v>
      </c>
      <c r="L1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Cruz</dc:creator>
  <cp:lastModifiedBy>Alejandro Alberto  Fernandez Loayza</cp:lastModifiedBy>
  <dcterms:created xsi:type="dcterms:W3CDTF">2025-09-01T17:22:55Z</dcterms:created>
  <dcterms:modified xsi:type="dcterms:W3CDTF">2025-09-02T13:44:07Z</dcterms:modified>
</cp:coreProperties>
</file>